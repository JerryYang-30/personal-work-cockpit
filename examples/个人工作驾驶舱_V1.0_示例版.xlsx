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65"/>
  </bookViews>
  <sheets>
    <sheet name="工作事项台账" sheetId="1" r:id="rId1"/>
    <sheet name="工作事项日志" sheetId="2" r:id="rId2"/>
    <sheet name="使用说明" sheetId="3" r:id="rId3"/>
    <sheet name="下拉列表" sheetId="4" r:id="rId4"/>
  </sheets>
  <calcPr calcId="144525"/>
</workbook>
</file>

<file path=xl/sharedStrings.xml><?xml version="1.0" encoding="utf-8"?>
<sst xmlns="http://schemas.openxmlformats.org/spreadsheetml/2006/main" count="179" uniqueCount="142">
  <si>
    <t>当前时间</t>
  </si>
  <si>
    <t>▶当前</t>
  </si>
  <si>
    <t>立即处理</t>
  </si>
  <si>
    <t>今日处理</t>
  </si>
  <si>
    <t>待催缺日期</t>
  </si>
  <si>
    <t>使用原则：只维护“当前状态”；定位入口用于快速回到聊天记录/文件路径/工单等上下文；等待他人时务必设置“下一关注时间”；有实质进展时更新“最近更新时间”。时间字段集中为：添加时间 → 最近更新时间 → 下一关注时间 → 截止时间 → 滞留天数。</t>
  </si>
  <si>
    <t>关注级别</t>
  </si>
  <si>
    <t>项目</t>
  </si>
  <si>
    <t>事项类型</t>
  </si>
  <si>
    <t>事项</t>
  </si>
  <si>
    <t>状态</t>
  </si>
  <si>
    <t>当前球权</t>
  </si>
  <si>
    <t>当前进展</t>
  </si>
  <si>
    <t>下一步动作</t>
  </si>
  <si>
    <t>定位入口</t>
  </si>
  <si>
    <t>添加时间</t>
  </si>
  <si>
    <t>最近更新时间</t>
  </si>
  <si>
    <t>下一关注时间</t>
  </si>
  <si>
    <t>截止时间</t>
  </si>
  <si>
    <t>滞留天数</t>
  </si>
  <si>
    <t>完整流程</t>
  </si>
  <si>
    <t>加速因素</t>
  </si>
  <si>
    <t>人工置顶</t>
  </si>
  <si>
    <t>项目A</t>
  </si>
  <si>
    <t>汇报材料</t>
  </si>
  <si>
    <t>专项材料后续维护</t>
  </si>
  <si>
    <t>已移交</t>
  </si>
  <si>
    <t>同事B</t>
  </si>
  <si>
    <t>已完成资料和背景交接，后续由同事B维护</t>
  </si>
  <si>
    <t/>
  </si>
  <si>
    <t>项目群｜关键词：材料交接</t>
  </si>
  <si>
    <t>项目C</t>
  </si>
  <si>
    <t>例行工作</t>
  </si>
  <si>
    <t>每天做日报</t>
  </si>
  <si>
    <t>处理中</t>
  </si>
  <si>
    <t>我</t>
  </si>
  <si>
    <t>强制今日</t>
  </si>
  <si>
    <t>项目D</t>
  </si>
  <si>
    <t>需求/变更</t>
  </si>
  <si>
    <t>新功能需求申请</t>
  </si>
  <si>
    <t>等待他人</t>
  </si>
  <si>
    <t>卡点：多部门联合提出，牵头方不明</t>
  </si>
  <si>
    <t>待A部门/B部门确认牵头方</t>
  </si>
  <si>
    <t>平台E</t>
  </si>
  <si>
    <t>整改</t>
  </si>
  <si>
    <t>实用化情况整改材料</t>
  </si>
  <si>
    <t>待处理</t>
  </si>
  <si>
    <t>实用化低的场景向业务部门确认要不要下架。</t>
  </si>
  <si>
    <t>杂活</t>
  </si>
  <si>
    <t>其他</t>
  </si>
  <si>
    <t>员工个人信息表，需手写</t>
  </si>
  <si>
    <t>已完成</t>
  </si>
  <si>
    <t>本周梳理下工作交接</t>
  </si>
  <si>
    <t>强制立即</t>
  </si>
  <si>
    <t>日期</t>
  </si>
  <si>
    <t>时间/时点（可选）</t>
  </si>
  <si>
    <t>事件/进展</t>
  </si>
  <si>
    <t>状态（可选）</t>
  </si>
  <si>
    <t>当前球权（可选）</t>
  </si>
  <si>
    <t>下一步动作（可选）</t>
  </si>
  <si>
    <t>备注（可选）</t>
  </si>
  <si>
    <t>个人工作驾驶舱 V1.0｜使用说明</t>
  </si>
  <si>
    <t>一、核心理念</t>
  </si>
  <si>
    <t>定位</t>
  </si>
  <si>
    <t>可信赖的外部工作记忆 + 当前推进工作台。轻启动、轻维护优先；日志、复盘和汇报尽量成为副产品。</t>
  </si>
  <si>
    <t>排序原则</t>
  </si>
  <si>
    <t>不做“重要×紧急”复杂评分。优先处理“晚一两个小时，代价最大”的事项；机器给默认判断，人保留纠偏权。</t>
  </si>
  <si>
    <t>二、每日使用流程</t>
  </si>
  <si>
    <t>早上</t>
  </si>
  <si>
    <t>打开主表 → 看“1 立即处理 / 2 今日处理” → 选定唯一一个“▶当前” → 开始工作。</t>
  </si>
  <si>
    <t>过程中</t>
  </si>
  <si>
    <t>新事项新增一行；实质进展只更新必要字段（状态/当前进展/下一步动作/最近更新时间），不要求一次填满。</t>
  </si>
  <si>
    <t>状态改为“等待他人” + 填当前球权 + 必须设置下一关注时间。到时前自动沉底，到时后自动浮回。</t>
  </si>
  <si>
    <t>被打断</t>
  </si>
  <si>
    <t>确认“▶当前”仍指向刚才任务；下一步动作写到能直接恢复工作的粒度；必要时用“定位入口”记录聊天/文件/系统位置。</t>
  </si>
  <si>
    <t>下班前</t>
  </si>
  <si>
    <t>收口当天变化；检查等待他人但缺下一关注时间的告警；按需把有意义的进展写入日志，然后关表。</t>
  </si>
  <si>
    <t>三、关键字段</t>
  </si>
  <si>
    <t>一行 = 一个需要持续关注到闭环的事项；不要把每一步都拆成独立事项。</t>
  </si>
  <si>
    <t>待处理 / 处理中 / 等待他人 / 受阻 / 已完成 / 已移交 / 已取消。状态只描述当前生命周期与阻塞状态。</t>
  </si>
  <si>
    <t>表示“下一步动作现在轮到谁”，不是项目总责任人。</t>
  </si>
  <si>
    <t>当前进展 / 下一步动作</t>
  </si>
  <si>
    <t>当前进展负责恢复上下文；下一步动作只写当前一步，也作为被打断后的恢复点。</t>
  </si>
  <si>
    <t>可选。写“从哪里重新进入这件事”，如：XX群+关键词、系统菜单/工单号、共享盘或本地路径。</t>
  </si>
  <si>
    <t>时间字段</t>
  </si>
  <si>
    <t>顺序固定：添加时间 → 最近更新时间 → 下一关注时间 → 截止时间 → 滞留天数。添加/最近更新显示月日。</t>
  </si>
  <si>
    <t>复杂事项可选，用“☑ 已完成步骤 → ☐ 下一步骤 → ☐ 后续步骤”保存路线图。</t>
  </si>
  <si>
    <t>加速因素 / 人工置顶</t>
  </si>
  <si>
    <t>加速因素可用“领导DDL｜止损｜阻塞｜启动”；人工置顶只用于纠偏，平时留空。</t>
  </si>
  <si>
    <t>四、状态与关注规则</t>
  </si>
  <si>
    <t>等待他人 vs 已移交</t>
  </si>
  <si>
    <t>等待他人：事项仍由你负责，必须设下一关注时间；已移交：责任已正式转出，自动进入“4 暂不关注”，旧截止时间不再触发逾期。</t>
  </si>
  <si>
    <t>1 立即处理 / 2 今日处理 / 3 近期关注 / 4 暂不关注。关注级别由状态、当前时间、下一关注、截止、加速因素和人工置顶自动生成。</t>
  </si>
  <si>
    <t>五、日志与复盘</t>
  </si>
  <si>
    <t>日志粒度</t>
  </si>
  <si>
    <t>按“事项 × 有意义的事件”记录；通常一天一条即可，若同一事项当天有多个关键节点可多条。</t>
  </si>
  <si>
    <t>项目日志</t>
  </si>
  <si>
    <t>所有项目共用一张日志；筛选“项目”即可得到单项目时间线。日志不是聊天审计记录，也不是主表的历史镜像。</t>
  </si>
  <si>
    <t>项目与杂活</t>
  </si>
  <si>
    <t>正式项目填写项目名；非项目零碎事项统一写“杂活”，项目复盘时可直接排除。</t>
  </si>
  <si>
    <t>六、显示与录入约定</t>
  </si>
  <si>
    <t>单元格分界</t>
  </si>
  <si>
    <t>主表与三个子表的内容区都使用浅灰色横向 + 纵向细边框。颜色高亮由条件格式单独负责，不用底色替代单元格分界。</t>
  </si>
  <si>
    <t>下拉与自由文本</t>
  </si>
  <si>
    <t>状态、事项类型、当前标记、人工置顶等使用下拉；项目、当前球权、定位入口保持自由文本。加速因素支持下拉建议 + 手工多标签。</t>
  </si>
  <si>
    <t>时间输入</t>
  </si>
  <si>
    <t>下一关注：仅日期/上午按08:30，下午按14:30；截止：上午前按12:00，仅日期/当天前按17:30；有明确时点可直接输入实际时间。</t>
  </si>
  <si>
    <t>七、边界与注意事项</t>
  </si>
  <si>
    <t>默认不做</t>
  </si>
  <si>
    <t>不做团队协作权限、复杂工时、数值评分、Jira式子任务、文件版本管理或审计级每次编辑留痕。</t>
  </si>
  <si>
    <t>敏感信息</t>
  </si>
  <si>
    <t>台账可包含项目、聊天线索、文件路径等敏感信息；不要把真实工作簿直接上传公网 AI 或公开仓库，优先使用组织允许的内网工具。</t>
  </si>
  <si>
    <t>维护原则</t>
  </si>
  <si>
    <t>任何新增字段/自动化都要先问：是否真的降低遗漏或重复维护？能否由已有字段推导？核心工作簿应在无宏、无AI时仍可正常使用。</t>
  </si>
  <si>
    <t>最终目标</t>
  </si>
  <si>
    <t>把工作状态可靠地放到外部系统里：今天不需要关注的事情，不占用今天的注意力；关掉工作簿后，工作也能暂时从脑子里关掉。</t>
  </si>
  <si>
    <t>加速因素建议（可多标签）</t>
  </si>
  <si>
    <t>当前标记</t>
  </si>
  <si>
    <t>时间语义</t>
  </si>
  <si>
    <t>默认时点</t>
  </si>
  <si>
    <t>领导DDL</t>
  </si>
  <si>
    <t>▶</t>
  </si>
  <si>
    <t>下一关注-上午/仅日期</t>
  </si>
  <si>
    <t>开发实施</t>
  </si>
  <si>
    <t>止损</t>
  </si>
  <si>
    <t>下一关注-下午</t>
  </si>
  <si>
    <t>数据</t>
  </si>
  <si>
    <t>阻塞</t>
  </si>
  <si>
    <t>截止-上午前</t>
  </si>
  <si>
    <t>权限</t>
  </si>
  <si>
    <t>受阻</t>
  </si>
  <si>
    <t>启动</t>
  </si>
  <si>
    <t>截止-当天前/仅日期</t>
  </si>
  <si>
    <t>资源</t>
  </si>
  <si>
    <t>策略/配置</t>
  </si>
  <si>
    <t>已取消</t>
  </si>
  <si>
    <t>架构/安全</t>
  </si>
  <si>
    <t>集成/并网</t>
  </si>
  <si>
    <t>测试</t>
  </si>
  <si>
    <t>验收/移交</t>
  </si>
  <si>
    <t>运维/指令</t>
  </si>
  <si>
    <t>竞赛/专项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</si>
</sst>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176" formatCode="yyyy\-mm\-dd\ hh:mm"/>
    <numFmt numFmtId="177" formatCode="hh:mm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8" formatCode="m&quot;月&quot;d&quot;日&quot;\ hh:mm"/>
  </numFmts>
  <fonts count="27">
    <font>
      <sz val="11"/>
      <name val="Carlito"/>
      <charset val="134"/>
    </font>
    <font>
      <b/>
      <sz val="10"/>
      <color rgb="FFFFFFFF"/>
      <name val="Microsoft YaHei"/>
      <charset val="134"/>
    </font>
    <font>
      <b/>
      <sz val="10"/>
      <color rgb="FF1F4E78"/>
      <name val="Microsoft YaHei"/>
      <charset val="134"/>
    </font>
    <font>
      <sz val="10"/>
      <color rgb="FF1F1F1F"/>
      <name val="Microsoft YaHei"/>
      <charset val="134"/>
    </font>
    <font>
      <b/>
      <sz val="16"/>
      <color rgb="FFFFFFFF"/>
      <name val="Microsoft YaHei"/>
      <charset val="134"/>
    </font>
    <font>
      <b/>
      <sz val="10"/>
      <color rgb="FF1F1F1F"/>
      <name val="Microsoft YaHei"/>
      <charset val="134"/>
    </font>
    <font>
      <i/>
      <sz val="9"/>
      <color rgb="FF7F6000"/>
      <name val="Microsoft YaHe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5B657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AF0F8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EF1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5" fillId="20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5" borderId="8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25" fillId="35" borderId="11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0" borderId="0"/>
  </cellStyleXfs>
  <cellXfs count="3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vertical="center"/>
    </xf>
    <xf numFmtId="0" fontId="0" fillId="0" borderId="1" xfId="49" applyNumberFormat="1" applyFont="1" applyFill="1" applyBorder="1"/>
    <xf numFmtId="177" fontId="3" fillId="4" borderId="1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vertical="center"/>
    </xf>
    <xf numFmtId="177" fontId="3" fillId="4" borderId="0" xfId="49" applyNumberFormat="1" applyFont="1" applyFill="1" applyBorder="1" applyAlignment="1">
      <alignment vertical="center"/>
    </xf>
    <xf numFmtId="0" fontId="4" fillId="5" borderId="0" xfId="49" applyNumberFormat="1" applyFont="1" applyFill="1" applyBorder="1" applyAlignment="1">
      <alignment horizontal="left" vertical="center"/>
    </xf>
    <xf numFmtId="0" fontId="3" fillId="4" borderId="0" xfId="49" applyNumberFormat="1" applyFont="1" applyFill="1" applyBorder="1" applyAlignment="1">
      <alignment vertical="center" wrapText="1"/>
    </xf>
    <xf numFmtId="0" fontId="2" fillId="3" borderId="1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vertical="center" wrapText="1"/>
    </xf>
    <xf numFmtId="0" fontId="1" fillId="5" borderId="2" xfId="49" applyNumberFormat="1" applyFont="1" applyFill="1" applyBorder="1" applyAlignment="1">
      <alignment horizontal="center" vertical="center" wrapText="1"/>
    </xf>
    <xf numFmtId="0" fontId="1" fillId="5" borderId="3" xfId="49" applyNumberFormat="1" applyFont="1" applyFill="1" applyBorder="1" applyAlignment="1">
      <alignment horizontal="center" vertical="center" wrapText="1"/>
    </xf>
    <xf numFmtId="58" fontId="3" fillId="4" borderId="1" xfId="49" applyNumberFormat="1" applyFont="1" applyFill="1" applyBorder="1" applyAlignment="1">
      <alignment vertical="center" wrapText="1"/>
    </xf>
    <xf numFmtId="0" fontId="1" fillId="5" borderId="4" xfId="49" applyNumberFormat="1" applyFont="1" applyFill="1" applyBorder="1" applyAlignment="1">
      <alignment horizontal="center" vertical="center" wrapText="1"/>
    </xf>
    <xf numFmtId="0" fontId="1" fillId="5" borderId="0" xfId="49" applyNumberFormat="1" applyFont="1" applyFill="1" applyBorder="1" applyAlignment="1">
      <alignment horizontal="center" vertical="center"/>
    </xf>
    <xf numFmtId="176" fontId="5" fillId="6" borderId="0" xfId="49" applyNumberFormat="1" applyFont="1" applyFill="1" applyBorder="1" applyAlignment="1">
      <alignment horizontal="center" vertical="center"/>
    </xf>
    <xf numFmtId="176" fontId="5" fillId="0" borderId="0" xfId="49" applyNumberFormat="1" applyFont="1" applyAlignment="1">
      <alignment horizontal="center" vertical="center"/>
    </xf>
    <xf numFmtId="0" fontId="5" fillId="6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Alignment="1">
      <alignment horizontal="center" vertical="center"/>
    </xf>
    <xf numFmtId="0" fontId="6" fillId="7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/>
    <xf numFmtId="0" fontId="3" fillId="4" borderId="1" xfId="49" applyNumberFormat="1" applyFont="1" applyFill="1" applyBorder="1" applyAlignment="1">
      <alignment horizontal="center" vertical="center" wrapText="1"/>
    </xf>
    <xf numFmtId="0" fontId="5" fillId="4" borderId="1" xfId="49" applyNumberFormat="1" applyFont="1" applyFill="1" applyBorder="1" applyAlignment="1">
      <alignment vertical="center" wrapText="1"/>
    </xf>
    <xf numFmtId="0" fontId="0" fillId="0" borderId="1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horizontal="center" vertical="center" wrapText="1"/>
    </xf>
    <xf numFmtId="58" fontId="3" fillId="4" borderId="1" xfId="49" applyNumberFormat="1" applyFont="1" applyFill="1" applyBorder="1" applyAlignment="1">
      <alignment horizontal="center" vertical="center" wrapText="1"/>
    </xf>
    <xf numFmtId="178" fontId="3" fillId="4" borderId="1" xfId="49" applyNumberFormat="1" applyFont="1" applyFill="1" applyBorder="1" applyAlignment="1">
      <alignment horizontal="center" vertical="center" wrapText="1"/>
    </xf>
    <xf numFmtId="1" fontId="3" fillId="4" borderId="1" xfId="49" applyNumberFormat="1" applyFont="1" applyFill="1" applyBorder="1" applyAlignment="1">
      <alignment horizontal="center" vertical="center" wrapText="1"/>
    </xf>
    <xf numFmtId="0" fontId="3" fillId="8" borderId="1" xfId="49" applyNumberFormat="1" applyFont="1" applyFill="1" applyBorder="1" applyAlignment="1">
      <alignment horizontal="center" vertical="center" wrapText="1"/>
    </xf>
    <xf numFmtId="58" fontId="0" fillId="0" borderId="1" xfId="49" applyNumberFormat="1" applyFont="1" applyFill="1" applyBorder="1" applyAlignment="1">
      <alignment horizontal="center" wrapText="1"/>
    </xf>
    <xf numFmtId="178" fontId="0" fillId="0" borderId="1" xfId="49" applyNumberFormat="1" applyFont="1" applyFill="1" applyBorder="1" applyAlignment="1">
      <alignment horizontal="center" wrapText="1"/>
    </xf>
    <xf numFmtId="1" fontId="0" fillId="0" borderId="1" xfId="49" applyNumberFormat="1" applyFont="1" applyFill="1" applyBorder="1" applyAlignment="1">
      <alignment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1" fillId="2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5"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BF9000"/>
      </font>
      <fill>
        <patternFill patternType="solid">
          <bgColor rgb="FFFFF2CC"/>
        </patternFill>
      </fill>
    </dxf>
    <dxf>
      <font>
        <b val="1"/>
        <color rgb="FFFFFFFF"/>
      </font>
      <fill>
        <patternFill patternType="solid">
          <bgColor rgb="FFF8696B"/>
        </patternFill>
      </fill>
    </dxf>
    <dxf>
      <font>
        <b val="1"/>
        <color rgb="FF7F4100"/>
      </font>
      <fill>
        <patternFill patternType="solid">
          <bgColor rgb="FFF4B183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numFmt numFmtId="179" formatCode="m&quot;月&quot;d&quot;日&quot;&quot;上午&quot;"/>
    </dxf>
    <dxf>
      <numFmt numFmtId="180" formatCode="m&quot;月&quot;d&quot;日&quot;&quot;下午&quot;"/>
    </dxf>
    <dxf>
      <font>
        <b val="1"/>
        <color rgb="FFC00000"/>
      </font>
      <fill>
        <patternFill patternType="solid">
          <bgColor rgb="FFFDE9E7"/>
        </patternFill>
      </fill>
    </dxf>
    <dxf>
      <numFmt numFmtId="181" formatCode="m&quot;月&quot;d&quot;日&quot;&quot;上午前&quot;"/>
    </dxf>
    <dxf>
      <numFmt numFmtId="182" formatCode="m&quot;月&quot;d&quot;日&quot;&quot;前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sksTable" displayName="TasksTable" ref="A4:R10" totalsRowShown="0">
  <autoFilter ref="A4:R10"/>
  <tableColumns count="18">
    <tableColumn id="1" name="▶当前"/>
    <tableColumn id="2" name="关注级别"/>
    <tableColumn id="3" name="项目"/>
    <tableColumn id="4" name="事项类型"/>
    <tableColumn id="5" name="事项"/>
    <tableColumn id="6" name="状态"/>
    <tableColumn id="7" name="当前球权"/>
    <tableColumn id="8" name="当前进展"/>
    <tableColumn id="9" name="下一步动作"/>
    <tableColumn id="10" name="定位入口"/>
    <tableColumn id="11" name="添加时间"/>
    <tableColumn id="12" name="最近更新时间"/>
    <tableColumn id="13" name="下一关注时间"/>
    <tableColumn id="14" name="截止时间"/>
    <tableColumn id="15" name="滞留天数"/>
    <tableColumn id="16" name="完整流程"/>
    <tableColumn id="17" name="加速因素"/>
    <tableColumn id="18" name="人工置顶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LogTable" displayName="WorkLogTable" ref="A1:I30" totalsRowShown="0">
  <tableColumns count="9">
    <tableColumn id="1" name="日期"/>
    <tableColumn id="2" name="时间/时点（可选）"/>
    <tableColumn id="3" name="项目"/>
    <tableColumn id="4" name="事项"/>
    <tableColumn id="5" name="事件/进展"/>
    <tableColumn id="6" name="状态（可选）"/>
    <tableColumn id="7" name="当前球权（可选）"/>
    <tableColumn id="8" name="下一步动作（可选）"/>
    <tableColumn id="9" name="备注（可选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1"/>
  <sheetViews>
    <sheetView tabSelected="1" workbookViewId="0">
      <selection activeCell="G10" sqref="G10"/>
    </sheetView>
  </sheetViews>
  <sheetFormatPr defaultColWidth="9" defaultRowHeight="14.25"/>
  <cols>
    <col min="1" max="1" width="7" customWidth="1"/>
    <col min="2" max="2" width="16" customWidth="1"/>
    <col min="3" max="4" width="14" customWidth="1"/>
    <col min="5" max="5" width="30" customWidth="1"/>
    <col min="6" max="7" width="12" customWidth="1"/>
    <col min="8" max="9" width="34" customWidth="1"/>
    <col min="10" max="10" width="24" customWidth="1"/>
    <col min="11" max="12" width="14" customWidth="1"/>
    <col min="13" max="14" width="18" customWidth="1"/>
    <col min="15" max="15" width="10" customWidth="1"/>
    <col min="16" max="16" width="38" customWidth="1"/>
    <col min="17" max="17" width="18" customWidth="1"/>
    <col min="18" max="18" width="12" customWidth="1"/>
  </cols>
  <sheetData>
    <row r="1" ht="24" customHeight="1" spans="1:18">
      <c r="A1" s="17" t="s">
        <v>0</v>
      </c>
      <c r="B1" s="18">
        <f ca="1">NOW()</f>
        <v>46273.9146990741</v>
      </c>
      <c r="C1" s="19"/>
      <c r="D1" s="17" t="s">
        <v>1</v>
      </c>
      <c r="E1" s="20">
        <f>COUNTIF(A5:A271,"▶")</f>
        <v>0</v>
      </c>
      <c r="F1" s="21"/>
      <c r="G1" s="17" t="s">
        <v>2</v>
      </c>
      <c r="H1" s="20">
        <f ca="1">COUNTIF(B5:B271,"1*")</f>
        <v>1</v>
      </c>
      <c r="I1" s="21"/>
      <c r="J1" s="17" t="s">
        <v>3</v>
      </c>
      <c r="K1" s="20">
        <f ca="1">COUNTIF(B5:B271,"2*")</f>
        <v>2</v>
      </c>
      <c r="L1" s="21"/>
      <c r="M1" s="17" t="s">
        <v>4</v>
      </c>
      <c r="N1" s="20">
        <f>COUNTIFS(F5:F271,"等待他人",M5:M271,"",E5:E271,"&lt;&gt;")</f>
        <v>1</v>
      </c>
      <c r="O1" s="21"/>
      <c r="P1" s="21"/>
      <c r="Q1" s="21"/>
      <c r="R1" s="21"/>
    </row>
    <row r="2" ht="34" customHeight="1" spans="1:18">
      <c r="A2" s="22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ht="8" customHeight="1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ht="28" customHeight="1" spans="1:18">
      <c r="A4" s="13" t="s">
        <v>1</v>
      </c>
      <c r="B4" s="14" t="s">
        <v>6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  <c r="M4" s="14" t="s">
        <v>17</v>
      </c>
      <c r="N4" s="14" t="s">
        <v>18</v>
      </c>
      <c r="O4" s="16" t="s">
        <v>19</v>
      </c>
      <c r="P4" s="27" t="s">
        <v>20</v>
      </c>
      <c r="Q4" s="35" t="s">
        <v>21</v>
      </c>
      <c r="R4" s="36" t="s">
        <v>22</v>
      </c>
    </row>
    <row r="5" ht="44" customHeight="1" spans="1:18">
      <c r="A5" s="24"/>
      <c r="B5" s="24" t="str">
        <f ca="1">IF(E5="","",IF(OR(F5="已完成",F5="已取消",F5="已移交"),"4 暂不关注",IF(OR(R5="强制立即",A5="▶",AND(ISNUMBER(N5),IF(MOD(N5,1)=0,INT(N5)+下拉列表!$H$5,N5)&lt;=$B$1),AND(F5&lt;&gt;"等待他人",OR(COUNTIF(Q5,"*止损*")&gt;0,COUNTIF(Q5,"*阻塞*")&gt;0))),"1 立即处理",IF(OR(R5="强制今日",AND(F5="等待他人",M5=""),AND(ISNUMBER(M5),IF(MOD(M5,1)=0,INT(M5)+下拉列表!$H$2,M5)&lt;=$B$1),AND(ISNUMBER(N5),INT(IF(MOD(N5,1)=0,INT(N5)+下拉列表!$H$5,N5))=INT($B$1),IF(MOD(N5,1)=0,INT(N5)+下拉列表!$H$5,N5)&gt;$B$1),AND(ISNUMBER(N5),INT(IF(MOD(N5,1)=0,INT(N5)+下拉列表!$H$5,N5))=INT($B$1)+1),AND(COUNTIF(Q5,"*领导DDL*")&gt;0,ISNUMBER(N5),INT(IF(MOD(N5,1)=0,INT(N5)+下拉列表!$H$5,N5))&lt;=INT($B$1)+2)),"2 今日处理",IF(AND(F5="等待他人",ISNUMBER(M5),IF(MOD(M5,1)=0,INT(M5)+下拉列表!$H$2,M5)&gt;$B$1),"4 暂不关注","3 近期关注")))))</f>
        <v>4 暂不关注</v>
      </c>
      <c r="C5" s="25" t="s">
        <v>23</v>
      </c>
      <c r="D5" s="12" t="s">
        <v>24</v>
      </c>
      <c r="E5" s="12" t="s">
        <v>25</v>
      </c>
      <c r="F5" s="12" t="s">
        <v>26</v>
      </c>
      <c r="G5" s="12" t="s">
        <v>27</v>
      </c>
      <c r="H5" s="12" t="s">
        <v>28</v>
      </c>
      <c r="I5" s="12" t="s">
        <v>29</v>
      </c>
      <c r="J5" s="12" t="s">
        <v>30</v>
      </c>
      <c r="K5" s="28"/>
      <c r="L5" s="28"/>
      <c r="M5" s="29"/>
      <c r="N5" s="29"/>
      <c r="O5" s="30" t="str">
        <f ca="1">IF(E5="","",IF(L5="","",MAX(0,INT($B$1)-INT(L5))))</f>
        <v/>
      </c>
      <c r="P5" s="31"/>
      <c r="Q5" s="31"/>
      <c r="R5" s="31"/>
    </row>
    <row r="6" ht="44" customHeight="1" spans="1:18">
      <c r="A6" s="24"/>
      <c r="B6" s="24" t="str">
        <f ca="1">IF(E6="","",IF(OR(F6="已完成",F6="已取消",F6="已移交"),"4 暂不关注",IF(OR(R6="强制立即",A6="▶",AND(ISNUMBER(N6),IF(MOD(N6,1)=0,INT(N6)+下拉列表!$H$5,N6)&lt;=$B$1),AND(F6&lt;&gt;"等待他人",OR(COUNTIF(Q6,"*止损*")&gt;0,COUNTIF(Q6,"*阻塞*")&gt;0))),"1 立即处理",IF(OR(R6="强制今日",AND(F6="等待他人",M6=""),AND(ISNUMBER(M6),IF(MOD(M6,1)=0,INT(M6)+下拉列表!$H$2,M6)&lt;=$B$1),AND(ISNUMBER(N6),INT(IF(MOD(N6,1)=0,INT(N6)+下拉列表!$H$5,N6))=INT($B$1),IF(MOD(N6,1)=0,INT(N6)+下拉列表!$H$5,N6)&gt;$B$1),AND(ISNUMBER(N6),INT(IF(MOD(N6,1)=0,INT(N6)+下拉列表!$H$5,N6))=INT($B$1)+1),AND(COUNTIF(Q6,"*领导DDL*")&gt;0,ISNUMBER(N6),INT(IF(MOD(N6,1)=0,INT(N6)+下拉列表!$H$5,N6))&lt;=INT($B$1)+2)),"2 今日处理",IF(AND(F6="等待他人",ISNUMBER(M6),IF(MOD(M6,1)=0,INT(M6)+下拉列表!$H$2,M6)&gt;$B$1),"4 暂不关注","3 近期关注")))))</f>
        <v>2 今日处理</v>
      </c>
      <c r="C6" s="25" t="s">
        <v>31</v>
      </c>
      <c r="D6" s="12" t="s">
        <v>32</v>
      </c>
      <c r="E6" s="12" t="s">
        <v>33</v>
      </c>
      <c r="F6" s="12" t="s">
        <v>34</v>
      </c>
      <c r="G6" s="12" t="s">
        <v>35</v>
      </c>
      <c r="H6" s="12"/>
      <c r="I6" s="12"/>
      <c r="J6" s="12"/>
      <c r="K6" s="28"/>
      <c r="L6" s="28"/>
      <c r="M6" s="29"/>
      <c r="N6" s="29"/>
      <c r="O6" s="30" t="str">
        <f ca="1">IF(E6="","",IF(L6="","",MAX(0,INT($B$1)-INT(L6))))</f>
        <v/>
      </c>
      <c r="P6" s="31"/>
      <c r="Q6" s="31"/>
      <c r="R6" s="31" t="s">
        <v>36</v>
      </c>
    </row>
    <row r="7" ht="44" customHeight="1" spans="1:18">
      <c r="A7" s="24"/>
      <c r="B7" s="24" t="str">
        <f ca="1">IF(E7="","",IF(OR(F7="已完成",F7="已取消",F7="已移交"),"4 暂不关注",IF(OR(R7="强制立即",A7="▶",AND(ISNUMBER(N7),IF(MOD(N7,1)=0,INT(N7)+下拉列表!$H$5,N7)&lt;=$B$1),AND(F7&lt;&gt;"等待他人",OR(COUNTIF(Q7,"*止损*")&gt;0,COUNTIF(Q7,"*阻塞*")&gt;0))),"1 立即处理",IF(OR(R7="强制今日",AND(F7="等待他人",M7=""),AND(ISNUMBER(M7),IF(MOD(M7,1)=0,INT(M7)+下拉列表!$H$2,M7)&lt;=$B$1),AND(ISNUMBER(N7),INT(IF(MOD(N7,1)=0,INT(N7)+下拉列表!$H$5,N7))=INT($B$1),IF(MOD(N7,1)=0,INT(N7)+下拉列表!$H$5,N7)&gt;$B$1),AND(ISNUMBER(N7),INT(IF(MOD(N7,1)=0,INT(N7)+下拉列表!$H$5,N7))=INT($B$1)+1),AND(COUNTIF(Q7,"*领导DDL*")&gt;0,ISNUMBER(N7),INT(IF(MOD(N7,1)=0,INT(N7)+下拉列表!$H$5,N7))&lt;=INT($B$1)+2)),"2 今日处理",IF(AND(F7="等待他人",ISNUMBER(M7),IF(MOD(M7,1)=0,INT(M7)+下拉列表!$H$2,M7)&gt;$B$1),"4 暂不关注","3 近期关注")))))</f>
        <v>2 今日处理</v>
      </c>
      <c r="C7" s="25" t="s">
        <v>37</v>
      </c>
      <c r="D7" s="12" t="s">
        <v>38</v>
      </c>
      <c r="E7" s="12" t="s">
        <v>39</v>
      </c>
      <c r="F7" s="12" t="s">
        <v>40</v>
      </c>
      <c r="G7" s="12"/>
      <c r="H7" s="12" t="s">
        <v>41</v>
      </c>
      <c r="I7" s="12" t="s">
        <v>42</v>
      </c>
      <c r="J7" s="12"/>
      <c r="K7" s="28"/>
      <c r="L7" s="28"/>
      <c r="M7" s="29"/>
      <c r="N7" s="29"/>
      <c r="O7" s="30" t="str">
        <f ca="1">IF(E7="","",IF(L7="","",MAX(0,INT($B$1)-INT(L7))))</f>
        <v/>
      </c>
      <c r="P7" s="31"/>
      <c r="Q7" s="31"/>
      <c r="R7" s="31"/>
    </row>
    <row r="8" ht="44" customHeight="1" spans="1:18">
      <c r="A8" s="24"/>
      <c r="B8" s="24" t="str">
        <f ca="1">IF(E8="","",IF(OR(F8="已完成",F8="已取消",F8="已移交"),"4 暂不关注",IF(OR(R8="强制立即",A8="▶",AND(ISNUMBER(N8),IF(MOD(N8,1)=0,INT(N8)+下拉列表!$H$5,N8)&lt;=$B$1),AND(F8&lt;&gt;"等待他人",OR(COUNTIF(Q8,"*止损*")&gt;0,COUNTIF(Q8,"*阻塞*")&gt;0))),"1 立即处理",IF(OR(R8="强制今日",AND(F8="等待他人",M8=""),AND(ISNUMBER(M8),IF(MOD(M8,1)=0,INT(M8)+下拉列表!$H$2,M8)&lt;=$B$1),AND(ISNUMBER(N8),INT(IF(MOD(N8,1)=0,INT(N8)+下拉列表!$H$5,N8))=INT($B$1),IF(MOD(N8,1)=0,INT(N8)+下拉列表!$H$5,N8)&gt;$B$1),AND(ISNUMBER(N8),INT(IF(MOD(N8,1)=0,INT(N8)+下拉列表!$H$5,N8))=INT($B$1)+1),AND(COUNTIF(Q8,"*领导DDL*")&gt;0,ISNUMBER(N8),INT(IF(MOD(N8,1)=0,INT(N8)+下拉列表!$H$5,N8))&lt;=INT($B$1)+2)),"2 今日处理",IF(AND(F8="等待他人",ISNUMBER(M8),IF(MOD(M8,1)=0,INT(M8)+下拉列表!$H$2,M8)&gt;$B$1),"4 暂不关注","3 近期关注")))))</f>
        <v>3 近期关注</v>
      </c>
      <c r="C8" s="25" t="s">
        <v>43</v>
      </c>
      <c r="D8" s="12" t="s">
        <v>44</v>
      </c>
      <c r="E8" s="12" t="s">
        <v>45</v>
      </c>
      <c r="F8" s="12" t="s">
        <v>46</v>
      </c>
      <c r="G8" s="12" t="s">
        <v>35</v>
      </c>
      <c r="H8" s="12"/>
      <c r="I8" s="12" t="s">
        <v>47</v>
      </c>
      <c r="J8" s="12"/>
      <c r="K8" s="28"/>
      <c r="L8" s="28"/>
      <c r="M8" s="29"/>
      <c r="N8" s="29"/>
      <c r="O8" s="30" t="str">
        <f ca="1">IF(E8="","",IF(L8="","",MAX(0,INT($B$1)-INT(L8))))</f>
        <v/>
      </c>
      <c r="P8" s="31"/>
      <c r="Q8" s="31"/>
      <c r="R8" s="31"/>
    </row>
    <row r="9" ht="44" customHeight="1" spans="1:18">
      <c r="A9" s="24"/>
      <c r="B9" s="24" t="str">
        <f ca="1">IF(E9="","",IF(OR(F9="已完成",F9="已取消",F9="已移交"),"4 暂不关注",IF(OR(R9="强制立即",A9="▶",AND(ISNUMBER(N9),IF(MOD(N9,1)=0,INT(N9)+下拉列表!$H$5,N9)&lt;=$B$1),AND(F9&lt;&gt;"等待他人",OR(COUNTIF(Q9,"*止损*")&gt;0,COUNTIF(Q9,"*阻塞*")&gt;0))),"1 立即处理",IF(OR(R9="强制今日",AND(F9="等待他人",M9=""),AND(ISNUMBER(M9),IF(MOD(M9,1)=0,INT(M9)+下拉列表!$H$2,M9)&lt;=$B$1),AND(ISNUMBER(N9),INT(IF(MOD(N9,1)=0,INT(N9)+下拉列表!$H$5,N9))=INT($B$1),IF(MOD(N9,1)=0,INT(N9)+下拉列表!$H$5,N9)&gt;$B$1),AND(ISNUMBER(N9),INT(IF(MOD(N9,1)=0,INT(N9)+下拉列表!$H$5,N9))=INT($B$1)+1),AND(COUNTIF(Q9,"*领导DDL*")&gt;0,ISNUMBER(N9),INT(IF(MOD(N9,1)=0,INT(N9)+下拉列表!$H$5,N9))&lt;=INT($B$1)+2)),"2 今日处理",IF(AND(F9="等待他人",ISNUMBER(M9),IF(MOD(M9,1)=0,INT(M9)+下拉列表!$H$2,M9)&gt;$B$1),"4 暂不关注","3 近期关注")))))</f>
        <v>4 暂不关注</v>
      </c>
      <c r="C9" s="25" t="s">
        <v>48</v>
      </c>
      <c r="D9" s="12" t="s">
        <v>49</v>
      </c>
      <c r="E9" s="12" t="s">
        <v>50</v>
      </c>
      <c r="F9" s="12" t="s">
        <v>51</v>
      </c>
      <c r="G9" s="12"/>
      <c r="H9" s="12"/>
      <c r="I9" s="12"/>
      <c r="J9" s="12"/>
      <c r="K9" s="28"/>
      <c r="L9" s="28"/>
      <c r="M9" s="29"/>
      <c r="N9" s="29"/>
      <c r="O9" s="30" t="str">
        <f ca="1">IF(E9="","",IF(L9="","",MAX(0,INT($B$1)-INT(L9))))</f>
        <v/>
      </c>
      <c r="P9" s="31"/>
      <c r="Q9" s="31"/>
      <c r="R9" s="31"/>
    </row>
    <row r="10" ht="44" customHeight="1" spans="1:18">
      <c r="A10" s="24"/>
      <c r="B10" s="24" t="str">
        <f ca="1">IF(E10="","",IF(OR(F10="已完成",F10="已取消",F10="已移交"),"4 暂不关注",IF(OR(R10="强制立即",A10="▶",AND(ISNUMBER(N10),IF(MOD(N10,1)=0,INT(N10)+下拉列表!$H$5,N10)&lt;=$B$1),AND(F10&lt;&gt;"等待他人",OR(COUNTIF(Q10,"*止损*")&gt;0,COUNTIF(Q10,"*阻塞*")&gt;0))),"1 立即处理",IF(OR(R10="强制今日",AND(F10="等待他人",M10=""),AND(ISNUMBER(M10),IF(MOD(M10,1)=0,INT(M10)+下拉列表!$H$2,M10)&lt;=$B$1),AND(ISNUMBER(N10),INT(IF(MOD(N10,1)=0,INT(N10)+下拉列表!$H$5,N10))=INT($B$1),IF(MOD(N10,1)=0,INT(N10)+下拉列表!$H$5,N10)&gt;$B$1),AND(ISNUMBER(N10),INT(IF(MOD(N10,1)=0,INT(N10)+下拉列表!$H$5,N10))=INT($B$1)+1),AND(COUNTIF(Q10,"*领导DDL*")&gt;0,ISNUMBER(N10),INT(IF(MOD(N10,1)=0,INT(N10)+下拉列表!$H$5,N10))&lt;=INT($B$1)+2)),"2 今日处理",IF(AND(F10="等待他人",ISNUMBER(M10),IF(MOD(M10,1)=0,INT(M10)+下拉列表!$H$2,M10)&gt;$B$1),"4 暂不关注","3 近期关注")))))</f>
        <v>1 立即处理</v>
      </c>
      <c r="C10" s="25" t="s">
        <v>48</v>
      </c>
      <c r="D10" s="12" t="s">
        <v>24</v>
      </c>
      <c r="E10" s="12" t="s">
        <v>52</v>
      </c>
      <c r="F10" s="12" t="s">
        <v>46</v>
      </c>
      <c r="G10" s="12" t="s">
        <v>35</v>
      </c>
      <c r="H10" s="12"/>
      <c r="I10" s="12"/>
      <c r="J10" s="12"/>
      <c r="K10" s="28">
        <v>46259</v>
      </c>
      <c r="L10" s="28"/>
      <c r="M10" s="29">
        <v>46262.3541666667</v>
      </c>
      <c r="N10" s="29">
        <v>46262.7291666667</v>
      </c>
      <c r="O10" s="30" t="str">
        <f ca="1">IF(E10="","",IF(L10="","",MAX(0,INT($B$1)-INT(L10))))</f>
        <v/>
      </c>
      <c r="P10" s="31"/>
      <c r="Q10" s="31"/>
      <c r="R10" s="31" t="s">
        <v>53</v>
      </c>
    </row>
    <row r="11" spans="1:18">
      <c r="A11" s="26"/>
      <c r="B11" s="26" t="str">
        <f ca="1">IF(E11="","",IF(OR(F11="已完成",F11="已取消",F11="已移交"),"4 暂不关注",IF(OR(R11="强制立即",A11="▶",AND(ISNUMBER(N11),IF(MOD(N11,1)=0,INT(N11)+下拉列表!$H$5,N11)&lt;=$B$1),AND(F11&lt;&gt;"等待他人",OR(COUNTIF(Q11,"*止损*")&gt;0,COUNTIF(Q11,"*阻塞*")&gt;0))),"1 立即处理",IF(OR(R11="强制今日",AND(F11="等待他人",M11=""),AND(ISNUMBER(M11),IF(MOD(M11,1)=0,INT(M11)+下拉列表!$H$2,M11)&lt;=$B$1),AND(ISNUMBER(N11),INT(IF(MOD(N11,1)=0,INT(N11)+下拉列表!$H$5,N11))=INT($B$1),IF(MOD(N11,1)=0,INT(N11)+下拉列表!$H$5,N11)&gt;$B$1),AND(ISNUMBER(N11),INT(IF(MOD(N11,1)=0,INT(N11)+下拉列表!$H$5,N11))=INT($B$1)+1),AND(COUNTIF(Q11,"*领导DDL*")&gt;0,ISNUMBER(N11),INT(IF(MOD(N11,1)=0,INT(N11)+下拉列表!$H$5,N11))&lt;=INT($B$1)+2)),"2 今日处理",IF(AND(F11="等待他人",ISNUMBER(M11),IF(MOD(M11,1)=0,INT(M11)+下拉列表!$H$2,M11)&gt;$B$1),"4 暂不关注","3 近期关注")))))</f>
        <v/>
      </c>
      <c r="C11" s="26"/>
      <c r="D11" s="26"/>
      <c r="E11" s="26"/>
      <c r="F11" s="26"/>
      <c r="G11" s="26"/>
      <c r="H11" s="26"/>
      <c r="I11" s="26"/>
      <c r="J11" s="26"/>
      <c r="K11" s="32"/>
      <c r="L11" s="32"/>
      <c r="M11" s="33"/>
      <c r="N11" s="33"/>
      <c r="O11" s="34" t="str">
        <f ca="1">IF(E11="","",IF(L11="","",MAX(0,INT($B$1)-INT(L11))))</f>
        <v/>
      </c>
      <c r="P11" s="26"/>
      <c r="Q11" s="26"/>
      <c r="R11" s="26"/>
    </row>
    <row r="12" spans="1:18">
      <c r="A12" s="26"/>
      <c r="B12" s="26" t="str">
        <f ca="1">IF(E12="","",IF(OR(F12="已完成",F12="已取消",F12="已移交"),"4 暂不关注",IF(OR(R12="强制立即",A12="▶",AND(ISNUMBER(N12),IF(MOD(N12,1)=0,INT(N12)+下拉列表!$H$5,N12)&lt;=$B$1),AND(F12&lt;&gt;"等待他人",OR(COUNTIF(Q12,"*止损*")&gt;0,COUNTIF(Q12,"*阻塞*")&gt;0))),"1 立即处理",IF(OR(R12="强制今日",AND(F12="等待他人",M12=""),AND(ISNUMBER(M12),IF(MOD(M12,1)=0,INT(M12)+下拉列表!$H$2,M12)&lt;=$B$1),AND(ISNUMBER(N12),INT(IF(MOD(N12,1)=0,INT(N12)+下拉列表!$H$5,N12))=INT($B$1),IF(MOD(N12,1)=0,INT(N12)+下拉列表!$H$5,N12)&gt;$B$1),AND(ISNUMBER(N12),INT(IF(MOD(N12,1)=0,INT(N12)+下拉列表!$H$5,N12))=INT($B$1)+1),AND(COUNTIF(Q12,"*领导DDL*")&gt;0,ISNUMBER(N12),INT(IF(MOD(N12,1)=0,INT(N12)+下拉列表!$H$5,N12))&lt;=INT($B$1)+2)),"2 今日处理",IF(AND(F12="等待他人",ISNUMBER(M12),IF(MOD(M12,1)=0,INT(M12)+下拉列表!$H$2,M12)&gt;$B$1),"4 暂不关注","3 近期关注")))))</f>
        <v/>
      </c>
      <c r="C12" s="26"/>
      <c r="D12" s="26"/>
      <c r="E12" s="26"/>
      <c r="F12" s="26"/>
      <c r="G12" s="26"/>
      <c r="H12" s="26"/>
      <c r="I12" s="26"/>
      <c r="J12" s="26"/>
      <c r="K12" s="32"/>
      <c r="L12" s="32"/>
      <c r="M12" s="33"/>
      <c r="N12" s="33"/>
      <c r="O12" s="34" t="str">
        <f ca="1">IF(E12="","",IF(L12="","",MAX(0,INT($B$1)-INT(L12))))</f>
        <v/>
      </c>
      <c r="P12" s="26"/>
      <c r="Q12" s="26"/>
      <c r="R12" s="26"/>
    </row>
    <row r="13" spans="1:18">
      <c r="A13" s="26"/>
      <c r="B13" s="26" t="str">
        <f ca="1">IF(E13="","",IF(OR(F13="已完成",F13="已取消",F13="已移交"),"4 暂不关注",IF(OR(R13="强制立即",A13="▶",AND(ISNUMBER(N13),IF(MOD(N13,1)=0,INT(N13)+下拉列表!$H$5,N13)&lt;=$B$1),AND(F13&lt;&gt;"等待他人",OR(COUNTIF(Q13,"*止损*")&gt;0,COUNTIF(Q13,"*阻塞*")&gt;0))),"1 立即处理",IF(OR(R13="强制今日",AND(F13="等待他人",M13=""),AND(ISNUMBER(M13),IF(MOD(M13,1)=0,INT(M13)+下拉列表!$H$2,M13)&lt;=$B$1),AND(ISNUMBER(N13),INT(IF(MOD(N13,1)=0,INT(N13)+下拉列表!$H$5,N13))=INT($B$1),IF(MOD(N13,1)=0,INT(N13)+下拉列表!$H$5,N13)&gt;$B$1),AND(ISNUMBER(N13),INT(IF(MOD(N13,1)=0,INT(N13)+下拉列表!$H$5,N13))=INT($B$1)+1),AND(COUNTIF(Q13,"*领导DDL*")&gt;0,ISNUMBER(N13),INT(IF(MOD(N13,1)=0,INT(N13)+下拉列表!$H$5,N13))&lt;=INT($B$1)+2)),"2 今日处理",IF(AND(F13="等待他人",ISNUMBER(M13),IF(MOD(M13,1)=0,INT(M13)+下拉列表!$H$2,M13)&gt;$B$1),"4 暂不关注","3 近期关注")))))</f>
        <v/>
      </c>
      <c r="C13" s="26"/>
      <c r="D13" s="26"/>
      <c r="E13" s="26"/>
      <c r="F13" s="26"/>
      <c r="G13" s="26"/>
      <c r="H13" s="26"/>
      <c r="I13" s="26"/>
      <c r="J13" s="26"/>
      <c r="K13" s="32"/>
      <c r="L13" s="32"/>
      <c r="M13" s="33"/>
      <c r="N13" s="33"/>
      <c r="O13" s="34" t="str">
        <f ca="1">IF(E13="","",IF(L13="","",MAX(0,INT($B$1)-INT(L13))))</f>
        <v/>
      </c>
      <c r="P13" s="26"/>
      <c r="Q13" s="26"/>
      <c r="R13" s="26"/>
    </row>
    <row r="14" spans="1:18">
      <c r="A14" s="26"/>
      <c r="B14" s="26" t="str">
        <f ca="1">IF(E14="","",IF(OR(F14="已完成",F14="已取消",F14="已移交"),"4 暂不关注",IF(OR(R14="强制立即",A14="▶",AND(ISNUMBER(N14),IF(MOD(N14,1)=0,INT(N14)+下拉列表!$H$5,N14)&lt;=$B$1),AND(F14&lt;&gt;"等待他人",OR(COUNTIF(Q14,"*止损*")&gt;0,COUNTIF(Q14,"*阻塞*")&gt;0))),"1 立即处理",IF(OR(R14="强制今日",AND(F14="等待他人",M14=""),AND(ISNUMBER(M14),IF(MOD(M14,1)=0,INT(M14)+下拉列表!$H$2,M14)&lt;=$B$1),AND(ISNUMBER(N14),INT(IF(MOD(N14,1)=0,INT(N14)+下拉列表!$H$5,N14))=INT($B$1),IF(MOD(N14,1)=0,INT(N14)+下拉列表!$H$5,N14)&gt;$B$1),AND(ISNUMBER(N14),INT(IF(MOD(N14,1)=0,INT(N14)+下拉列表!$H$5,N14))=INT($B$1)+1),AND(COUNTIF(Q14,"*领导DDL*")&gt;0,ISNUMBER(N14),INT(IF(MOD(N14,1)=0,INT(N14)+下拉列表!$H$5,N14))&lt;=INT($B$1)+2)),"2 今日处理",IF(AND(F14="等待他人",ISNUMBER(M14),IF(MOD(M14,1)=0,INT(M14)+下拉列表!$H$2,M14)&gt;$B$1),"4 暂不关注","3 近期关注")))))</f>
        <v/>
      </c>
      <c r="C14" s="26"/>
      <c r="D14" s="26"/>
      <c r="E14" s="26"/>
      <c r="F14" s="26"/>
      <c r="G14" s="26"/>
      <c r="H14" s="26"/>
      <c r="I14" s="26"/>
      <c r="J14" s="26"/>
      <c r="K14" s="32"/>
      <c r="L14" s="32"/>
      <c r="M14" s="33"/>
      <c r="N14" s="33"/>
      <c r="O14" s="34" t="str">
        <f ca="1">IF(E14="","",IF(L14="","",MAX(0,INT($B$1)-INT(L14))))</f>
        <v/>
      </c>
      <c r="P14" s="26"/>
      <c r="Q14" s="26"/>
      <c r="R14" s="26"/>
    </row>
    <row r="15" spans="1:18">
      <c r="A15" s="26"/>
      <c r="B15" s="26" t="str">
        <f ca="1">IF(E15="","",IF(OR(F15="已完成",F15="已取消",F15="已移交"),"4 暂不关注",IF(OR(R15="强制立即",A15="▶",AND(ISNUMBER(N15),IF(MOD(N15,1)=0,INT(N15)+下拉列表!$H$5,N15)&lt;=$B$1),AND(F15&lt;&gt;"等待他人",OR(COUNTIF(Q15,"*止损*")&gt;0,COUNTIF(Q15,"*阻塞*")&gt;0))),"1 立即处理",IF(OR(R15="强制今日",AND(F15="等待他人",M15=""),AND(ISNUMBER(M15),IF(MOD(M15,1)=0,INT(M15)+下拉列表!$H$2,M15)&lt;=$B$1),AND(ISNUMBER(N15),INT(IF(MOD(N15,1)=0,INT(N15)+下拉列表!$H$5,N15))=INT($B$1),IF(MOD(N15,1)=0,INT(N15)+下拉列表!$H$5,N15)&gt;$B$1),AND(ISNUMBER(N15),INT(IF(MOD(N15,1)=0,INT(N15)+下拉列表!$H$5,N15))=INT($B$1)+1),AND(COUNTIF(Q15,"*领导DDL*")&gt;0,ISNUMBER(N15),INT(IF(MOD(N15,1)=0,INT(N15)+下拉列表!$H$5,N15))&lt;=INT($B$1)+2)),"2 今日处理",IF(AND(F15="等待他人",ISNUMBER(M15),IF(MOD(M15,1)=0,INT(M15)+下拉列表!$H$2,M15)&gt;$B$1),"4 暂不关注","3 近期关注")))))</f>
        <v/>
      </c>
      <c r="C15" s="26"/>
      <c r="D15" s="26"/>
      <c r="E15" s="26"/>
      <c r="F15" s="26"/>
      <c r="G15" s="26"/>
      <c r="H15" s="26"/>
      <c r="I15" s="26"/>
      <c r="J15" s="26"/>
      <c r="K15" s="32"/>
      <c r="L15" s="32"/>
      <c r="M15" s="33"/>
      <c r="N15" s="33"/>
      <c r="O15" s="34" t="str">
        <f ca="1">IF(E15="","",IF(L15="","",MAX(0,INT($B$1)-INT(L15))))</f>
        <v/>
      </c>
      <c r="P15" s="26"/>
      <c r="Q15" s="26"/>
      <c r="R15" s="26"/>
    </row>
    <row r="16" spans="1:18">
      <c r="A16" s="26"/>
      <c r="B16" s="26" t="str">
        <f ca="1">IF(E16="","",IF(OR(F16="已完成",F16="已取消",F16="已移交"),"4 暂不关注",IF(OR(R16="强制立即",A16="▶",AND(ISNUMBER(N16),IF(MOD(N16,1)=0,INT(N16)+下拉列表!$H$5,N16)&lt;=$B$1),AND(F16&lt;&gt;"等待他人",OR(COUNTIF(Q16,"*止损*")&gt;0,COUNTIF(Q16,"*阻塞*")&gt;0))),"1 立即处理",IF(OR(R16="强制今日",AND(F16="等待他人",M16=""),AND(ISNUMBER(M16),IF(MOD(M16,1)=0,INT(M16)+下拉列表!$H$2,M16)&lt;=$B$1),AND(ISNUMBER(N16),INT(IF(MOD(N16,1)=0,INT(N16)+下拉列表!$H$5,N16))=INT($B$1),IF(MOD(N16,1)=0,INT(N16)+下拉列表!$H$5,N16)&gt;$B$1),AND(ISNUMBER(N16),INT(IF(MOD(N16,1)=0,INT(N16)+下拉列表!$H$5,N16))=INT($B$1)+1),AND(COUNTIF(Q16,"*领导DDL*")&gt;0,ISNUMBER(N16),INT(IF(MOD(N16,1)=0,INT(N16)+下拉列表!$H$5,N16))&lt;=INT($B$1)+2)),"2 今日处理",IF(AND(F16="等待他人",ISNUMBER(M16),IF(MOD(M16,1)=0,INT(M16)+下拉列表!$H$2,M16)&gt;$B$1),"4 暂不关注","3 近期关注")))))</f>
        <v/>
      </c>
      <c r="C16" s="26"/>
      <c r="D16" s="26"/>
      <c r="E16" s="26"/>
      <c r="F16" s="26"/>
      <c r="G16" s="26"/>
      <c r="H16" s="26"/>
      <c r="I16" s="26"/>
      <c r="J16" s="26"/>
      <c r="K16" s="32"/>
      <c r="L16" s="32"/>
      <c r="M16" s="33"/>
      <c r="N16" s="33"/>
      <c r="O16" s="34" t="str">
        <f ca="1">IF(E16="","",IF(L16="","",MAX(0,INT($B$1)-INT(L16))))</f>
        <v/>
      </c>
      <c r="P16" s="26"/>
      <c r="Q16" s="26"/>
      <c r="R16" s="26"/>
    </row>
    <row r="17" spans="1:18">
      <c r="A17" s="26"/>
      <c r="B17" s="26" t="str">
        <f ca="1">IF(E17="","",IF(OR(F17="已完成",F17="已取消",F17="已移交"),"4 暂不关注",IF(OR(R17="强制立即",A17="▶",AND(ISNUMBER(N17),IF(MOD(N17,1)=0,INT(N17)+下拉列表!$H$5,N17)&lt;=$B$1),AND(F17&lt;&gt;"等待他人",OR(COUNTIF(Q17,"*止损*")&gt;0,COUNTIF(Q17,"*阻塞*")&gt;0))),"1 立即处理",IF(OR(R17="强制今日",AND(F17="等待他人",M17=""),AND(ISNUMBER(M17),IF(MOD(M17,1)=0,INT(M17)+下拉列表!$H$2,M17)&lt;=$B$1),AND(ISNUMBER(N17),INT(IF(MOD(N17,1)=0,INT(N17)+下拉列表!$H$5,N17))=INT($B$1),IF(MOD(N17,1)=0,INT(N17)+下拉列表!$H$5,N17)&gt;$B$1),AND(ISNUMBER(N17),INT(IF(MOD(N17,1)=0,INT(N17)+下拉列表!$H$5,N17))=INT($B$1)+1),AND(COUNTIF(Q17,"*领导DDL*")&gt;0,ISNUMBER(N17),INT(IF(MOD(N17,1)=0,INT(N17)+下拉列表!$H$5,N17))&lt;=INT($B$1)+2)),"2 今日处理",IF(AND(F17="等待他人",ISNUMBER(M17),IF(MOD(M17,1)=0,INT(M17)+下拉列表!$H$2,M17)&gt;$B$1),"4 暂不关注","3 近期关注")))))</f>
        <v/>
      </c>
      <c r="C17" s="26"/>
      <c r="D17" s="26"/>
      <c r="E17" s="26"/>
      <c r="F17" s="26"/>
      <c r="G17" s="26"/>
      <c r="H17" s="26"/>
      <c r="I17" s="26"/>
      <c r="J17" s="26"/>
      <c r="K17" s="32"/>
      <c r="L17" s="32"/>
      <c r="M17" s="33"/>
      <c r="N17" s="33"/>
      <c r="O17" s="34" t="str">
        <f ca="1">IF(E17="","",IF(L17="","",MAX(0,INT($B$1)-INT(L17))))</f>
        <v/>
      </c>
      <c r="P17" s="26"/>
      <c r="Q17" s="26"/>
      <c r="R17" s="26"/>
    </row>
    <row r="18" spans="1:18">
      <c r="A18" s="26"/>
      <c r="B18" s="26" t="str">
        <f ca="1">IF(E18="","",IF(OR(F18="已完成",F18="已取消",F18="已移交"),"4 暂不关注",IF(OR(R18="强制立即",A18="▶",AND(ISNUMBER(N18),IF(MOD(N18,1)=0,INT(N18)+下拉列表!$H$5,N18)&lt;=$B$1),AND(F18&lt;&gt;"等待他人",OR(COUNTIF(Q18,"*止损*")&gt;0,COUNTIF(Q18,"*阻塞*")&gt;0))),"1 立即处理",IF(OR(R18="强制今日",AND(F18="等待他人",M18=""),AND(ISNUMBER(M18),IF(MOD(M18,1)=0,INT(M18)+下拉列表!$H$2,M18)&lt;=$B$1),AND(ISNUMBER(N18),INT(IF(MOD(N18,1)=0,INT(N18)+下拉列表!$H$5,N18))=INT($B$1),IF(MOD(N18,1)=0,INT(N18)+下拉列表!$H$5,N18)&gt;$B$1),AND(ISNUMBER(N18),INT(IF(MOD(N18,1)=0,INT(N18)+下拉列表!$H$5,N18))=INT($B$1)+1),AND(COUNTIF(Q18,"*领导DDL*")&gt;0,ISNUMBER(N18),INT(IF(MOD(N18,1)=0,INT(N18)+下拉列表!$H$5,N18))&lt;=INT($B$1)+2)),"2 今日处理",IF(AND(F18="等待他人",ISNUMBER(M18),IF(MOD(M18,1)=0,INT(M18)+下拉列表!$H$2,M18)&gt;$B$1),"4 暂不关注","3 近期关注")))))</f>
        <v/>
      </c>
      <c r="C18" s="26"/>
      <c r="D18" s="26"/>
      <c r="E18" s="26"/>
      <c r="F18" s="26"/>
      <c r="G18" s="26"/>
      <c r="H18" s="26"/>
      <c r="I18" s="26"/>
      <c r="J18" s="26"/>
      <c r="K18" s="32"/>
      <c r="L18" s="32"/>
      <c r="M18" s="33"/>
      <c r="N18" s="33"/>
      <c r="O18" s="34" t="str">
        <f ca="1">IF(E18="","",IF(L18="","",MAX(0,INT($B$1)-INT(L18))))</f>
        <v/>
      </c>
      <c r="P18" s="26"/>
      <c r="Q18" s="26"/>
      <c r="R18" s="26"/>
    </row>
    <row r="19" spans="1:18">
      <c r="A19" s="26"/>
      <c r="B19" s="26" t="str">
        <f ca="1">IF(E19="","",IF(OR(F19="已完成",F19="已取消",F19="已移交"),"4 暂不关注",IF(OR(R19="强制立即",A19="▶",AND(ISNUMBER(N19),IF(MOD(N19,1)=0,INT(N19)+下拉列表!$H$5,N19)&lt;=$B$1),AND(F19&lt;&gt;"等待他人",OR(COUNTIF(Q19,"*止损*")&gt;0,COUNTIF(Q19,"*阻塞*")&gt;0))),"1 立即处理",IF(OR(R19="强制今日",AND(F19="等待他人",M19=""),AND(ISNUMBER(M19),IF(MOD(M19,1)=0,INT(M19)+下拉列表!$H$2,M19)&lt;=$B$1),AND(ISNUMBER(N19),INT(IF(MOD(N19,1)=0,INT(N19)+下拉列表!$H$5,N19))=INT($B$1),IF(MOD(N19,1)=0,INT(N19)+下拉列表!$H$5,N19)&gt;$B$1),AND(ISNUMBER(N19),INT(IF(MOD(N19,1)=0,INT(N19)+下拉列表!$H$5,N19))=INT($B$1)+1),AND(COUNTIF(Q19,"*领导DDL*")&gt;0,ISNUMBER(N19),INT(IF(MOD(N19,1)=0,INT(N19)+下拉列表!$H$5,N19))&lt;=INT($B$1)+2)),"2 今日处理",IF(AND(F19="等待他人",ISNUMBER(M19),IF(MOD(M19,1)=0,INT(M19)+下拉列表!$H$2,M19)&gt;$B$1),"4 暂不关注","3 近期关注")))))</f>
        <v/>
      </c>
      <c r="C19" s="26"/>
      <c r="D19" s="26"/>
      <c r="E19" s="26"/>
      <c r="F19" s="26"/>
      <c r="G19" s="26"/>
      <c r="H19" s="26"/>
      <c r="I19" s="26"/>
      <c r="J19" s="26"/>
      <c r="K19" s="32"/>
      <c r="L19" s="32"/>
      <c r="M19" s="33"/>
      <c r="N19" s="33"/>
      <c r="O19" s="34" t="str">
        <f ca="1">IF(E19="","",IF(L19="","",MAX(0,INT($B$1)-INT(L19))))</f>
        <v/>
      </c>
      <c r="P19" s="26"/>
      <c r="Q19" s="26"/>
      <c r="R19" s="26"/>
    </row>
    <row r="20" spans="1:18">
      <c r="A20" s="26"/>
      <c r="B20" s="26" t="str">
        <f ca="1">IF(E20="","",IF(OR(F20="已完成",F20="已取消",F20="已移交"),"4 暂不关注",IF(OR(R20="强制立即",A20="▶",AND(ISNUMBER(N20),IF(MOD(N20,1)=0,INT(N20)+下拉列表!$H$5,N20)&lt;=$B$1),AND(F20&lt;&gt;"等待他人",OR(COUNTIF(Q20,"*止损*")&gt;0,COUNTIF(Q20,"*阻塞*")&gt;0))),"1 立即处理",IF(OR(R20="强制今日",AND(F20="等待他人",M20=""),AND(ISNUMBER(M20),IF(MOD(M20,1)=0,INT(M20)+下拉列表!$H$2,M20)&lt;=$B$1),AND(ISNUMBER(N20),INT(IF(MOD(N20,1)=0,INT(N20)+下拉列表!$H$5,N20))=INT($B$1),IF(MOD(N20,1)=0,INT(N20)+下拉列表!$H$5,N20)&gt;$B$1),AND(ISNUMBER(N20),INT(IF(MOD(N20,1)=0,INT(N20)+下拉列表!$H$5,N20))=INT($B$1)+1),AND(COUNTIF(Q20,"*领导DDL*")&gt;0,ISNUMBER(N20),INT(IF(MOD(N20,1)=0,INT(N20)+下拉列表!$H$5,N20))&lt;=INT($B$1)+2)),"2 今日处理",IF(AND(F20="等待他人",ISNUMBER(M20),IF(MOD(M20,1)=0,INT(M20)+下拉列表!$H$2,M20)&gt;$B$1),"4 暂不关注","3 近期关注")))))</f>
        <v/>
      </c>
      <c r="C20" s="26"/>
      <c r="D20" s="26"/>
      <c r="E20" s="26"/>
      <c r="F20" s="26"/>
      <c r="G20" s="26"/>
      <c r="H20" s="26"/>
      <c r="I20" s="26"/>
      <c r="J20" s="26"/>
      <c r="K20" s="32"/>
      <c r="L20" s="32"/>
      <c r="M20" s="33"/>
      <c r="N20" s="33"/>
      <c r="O20" s="34" t="str">
        <f ca="1">IF(E20="","",IF(L20="","",MAX(0,INT($B$1)-INT(L20))))</f>
        <v/>
      </c>
      <c r="P20" s="26"/>
      <c r="Q20" s="26"/>
      <c r="R20" s="26"/>
    </row>
    <row r="21" spans="1:18">
      <c r="A21" s="26"/>
      <c r="B21" s="26" t="str">
        <f ca="1">IF(E21="","",IF(OR(F21="已完成",F21="已取消",F21="已移交"),"4 暂不关注",IF(OR(R21="强制立即",A21="▶",AND(ISNUMBER(N21),IF(MOD(N21,1)=0,INT(N21)+下拉列表!$H$5,N21)&lt;=$B$1),AND(F21&lt;&gt;"等待他人",OR(COUNTIF(Q21,"*止损*")&gt;0,COUNTIF(Q21,"*阻塞*")&gt;0))),"1 立即处理",IF(OR(R21="强制今日",AND(F21="等待他人",M21=""),AND(ISNUMBER(M21),IF(MOD(M21,1)=0,INT(M21)+下拉列表!$H$2,M21)&lt;=$B$1),AND(ISNUMBER(N21),INT(IF(MOD(N21,1)=0,INT(N21)+下拉列表!$H$5,N21))=INT($B$1),IF(MOD(N21,1)=0,INT(N21)+下拉列表!$H$5,N21)&gt;$B$1),AND(ISNUMBER(N21),INT(IF(MOD(N21,1)=0,INT(N21)+下拉列表!$H$5,N21))=INT($B$1)+1),AND(COUNTIF(Q21,"*领导DDL*")&gt;0,ISNUMBER(N21),INT(IF(MOD(N21,1)=0,INT(N21)+下拉列表!$H$5,N21))&lt;=INT($B$1)+2)),"2 今日处理",IF(AND(F21="等待他人",ISNUMBER(M21),IF(MOD(M21,1)=0,INT(M21)+下拉列表!$H$2,M21)&gt;$B$1),"4 暂不关注","3 近期关注")))))</f>
        <v/>
      </c>
      <c r="C21" s="26"/>
      <c r="D21" s="26"/>
      <c r="E21" s="26"/>
      <c r="F21" s="26"/>
      <c r="G21" s="26"/>
      <c r="H21" s="26"/>
      <c r="I21" s="26"/>
      <c r="J21" s="26"/>
      <c r="K21" s="32"/>
      <c r="L21" s="32"/>
      <c r="M21" s="33"/>
      <c r="N21" s="33"/>
      <c r="O21" s="34" t="str">
        <f ca="1">IF(E21="","",IF(L21="","",MAX(0,INT($B$1)-INT(L21))))</f>
        <v/>
      </c>
      <c r="P21" s="26"/>
      <c r="Q21" s="26"/>
      <c r="R21" s="26"/>
    </row>
    <row r="22" spans="1:18">
      <c r="A22" s="26"/>
      <c r="B22" s="26" t="str">
        <f ca="1">IF(E22="","",IF(OR(F22="已完成",F22="已取消",F22="已移交"),"4 暂不关注",IF(OR(R22="强制立即",A22="▶",AND(ISNUMBER(N22),IF(MOD(N22,1)=0,INT(N22)+下拉列表!$H$5,N22)&lt;=$B$1),AND(F22&lt;&gt;"等待他人",OR(COUNTIF(Q22,"*止损*")&gt;0,COUNTIF(Q22,"*阻塞*")&gt;0))),"1 立即处理",IF(OR(R22="强制今日",AND(F22="等待他人",M22=""),AND(ISNUMBER(M22),IF(MOD(M22,1)=0,INT(M22)+下拉列表!$H$2,M22)&lt;=$B$1),AND(ISNUMBER(N22),INT(IF(MOD(N22,1)=0,INT(N22)+下拉列表!$H$5,N22))=INT($B$1),IF(MOD(N22,1)=0,INT(N22)+下拉列表!$H$5,N22)&gt;$B$1),AND(ISNUMBER(N22),INT(IF(MOD(N22,1)=0,INT(N22)+下拉列表!$H$5,N22))=INT($B$1)+1),AND(COUNTIF(Q22,"*领导DDL*")&gt;0,ISNUMBER(N22),INT(IF(MOD(N22,1)=0,INT(N22)+下拉列表!$H$5,N22))&lt;=INT($B$1)+2)),"2 今日处理",IF(AND(F22="等待他人",ISNUMBER(M22),IF(MOD(M22,1)=0,INT(M22)+下拉列表!$H$2,M22)&gt;$B$1),"4 暂不关注","3 近期关注")))))</f>
        <v/>
      </c>
      <c r="C22" s="26"/>
      <c r="D22" s="26"/>
      <c r="E22" s="26"/>
      <c r="F22" s="26"/>
      <c r="G22" s="26"/>
      <c r="H22" s="26"/>
      <c r="I22" s="26"/>
      <c r="J22" s="26"/>
      <c r="K22" s="32"/>
      <c r="L22" s="32"/>
      <c r="M22" s="33"/>
      <c r="N22" s="33"/>
      <c r="O22" s="34" t="str">
        <f ca="1">IF(E22="","",IF(L22="","",MAX(0,INT($B$1)-INT(L22))))</f>
        <v/>
      </c>
      <c r="P22" s="26"/>
      <c r="Q22" s="26"/>
      <c r="R22" s="26"/>
    </row>
    <row r="23" spans="1:18">
      <c r="A23" s="26"/>
      <c r="B23" s="26" t="str">
        <f ca="1">IF(E23="","",IF(OR(F23="已完成",F23="已取消",F23="已移交"),"4 暂不关注",IF(OR(R23="强制立即",A23="▶",AND(ISNUMBER(N23),IF(MOD(N23,1)=0,INT(N23)+下拉列表!$H$5,N23)&lt;=$B$1),AND(F23&lt;&gt;"等待他人",OR(COUNTIF(Q23,"*止损*")&gt;0,COUNTIF(Q23,"*阻塞*")&gt;0))),"1 立即处理",IF(OR(R23="强制今日",AND(F23="等待他人",M23=""),AND(ISNUMBER(M23),IF(MOD(M23,1)=0,INT(M23)+下拉列表!$H$2,M23)&lt;=$B$1),AND(ISNUMBER(N23),INT(IF(MOD(N23,1)=0,INT(N23)+下拉列表!$H$5,N23))=INT($B$1),IF(MOD(N23,1)=0,INT(N23)+下拉列表!$H$5,N23)&gt;$B$1),AND(ISNUMBER(N23),INT(IF(MOD(N23,1)=0,INT(N23)+下拉列表!$H$5,N23))=INT($B$1)+1),AND(COUNTIF(Q23,"*领导DDL*")&gt;0,ISNUMBER(N23),INT(IF(MOD(N23,1)=0,INT(N23)+下拉列表!$H$5,N23))&lt;=INT($B$1)+2)),"2 今日处理",IF(AND(F23="等待他人",ISNUMBER(M23),IF(MOD(M23,1)=0,INT(M23)+下拉列表!$H$2,M23)&gt;$B$1),"4 暂不关注","3 近期关注")))))</f>
        <v/>
      </c>
      <c r="C23" s="26"/>
      <c r="D23" s="26"/>
      <c r="E23" s="26"/>
      <c r="F23" s="26"/>
      <c r="G23" s="26"/>
      <c r="H23" s="26"/>
      <c r="I23" s="26"/>
      <c r="J23" s="26"/>
      <c r="K23" s="32"/>
      <c r="L23" s="32"/>
      <c r="M23" s="33"/>
      <c r="N23" s="33"/>
      <c r="O23" s="34" t="str">
        <f ca="1">IF(E23="","",IF(L23="","",MAX(0,INT($B$1)-INT(L23))))</f>
        <v/>
      </c>
      <c r="P23" s="26"/>
      <c r="Q23" s="26"/>
      <c r="R23" s="26"/>
    </row>
    <row r="24" spans="1:18">
      <c r="A24" s="26"/>
      <c r="B24" s="26" t="str">
        <f ca="1">IF(E24="","",IF(OR(F24="已完成",F24="已取消",F24="已移交"),"4 暂不关注",IF(OR(R24="强制立即",A24="▶",AND(ISNUMBER(N24),IF(MOD(N24,1)=0,INT(N24)+下拉列表!$H$5,N24)&lt;=$B$1),AND(F24&lt;&gt;"等待他人",OR(COUNTIF(Q24,"*止损*")&gt;0,COUNTIF(Q24,"*阻塞*")&gt;0))),"1 立即处理",IF(OR(R24="强制今日",AND(F24="等待他人",M24=""),AND(ISNUMBER(M24),IF(MOD(M24,1)=0,INT(M24)+下拉列表!$H$2,M24)&lt;=$B$1),AND(ISNUMBER(N24),INT(IF(MOD(N24,1)=0,INT(N24)+下拉列表!$H$5,N24))=INT($B$1),IF(MOD(N24,1)=0,INT(N24)+下拉列表!$H$5,N24)&gt;$B$1),AND(ISNUMBER(N24),INT(IF(MOD(N24,1)=0,INT(N24)+下拉列表!$H$5,N24))=INT($B$1)+1),AND(COUNTIF(Q24,"*领导DDL*")&gt;0,ISNUMBER(N24),INT(IF(MOD(N24,1)=0,INT(N24)+下拉列表!$H$5,N24))&lt;=INT($B$1)+2)),"2 今日处理",IF(AND(F24="等待他人",ISNUMBER(M24),IF(MOD(M24,1)=0,INT(M24)+下拉列表!$H$2,M24)&gt;$B$1),"4 暂不关注","3 近期关注")))))</f>
        <v/>
      </c>
      <c r="C24" s="26"/>
      <c r="D24" s="26"/>
      <c r="E24" s="26"/>
      <c r="F24" s="26"/>
      <c r="G24" s="26"/>
      <c r="H24" s="26"/>
      <c r="I24" s="26"/>
      <c r="J24" s="26"/>
      <c r="K24" s="32"/>
      <c r="L24" s="32"/>
      <c r="M24" s="33"/>
      <c r="N24" s="33"/>
      <c r="O24" s="34" t="str">
        <f ca="1">IF(E24="","",IF(L24="","",MAX(0,INT($B$1)-INT(L24))))</f>
        <v/>
      </c>
      <c r="P24" s="26"/>
      <c r="Q24" s="26"/>
      <c r="R24" s="26"/>
    </row>
    <row r="25" spans="1:18">
      <c r="A25" s="26"/>
      <c r="B25" s="26" t="str">
        <f ca="1">IF(E25="","",IF(OR(F25="已完成",F25="已取消",F25="已移交"),"4 暂不关注",IF(OR(R25="强制立即",A25="▶",AND(ISNUMBER(N25),IF(MOD(N25,1)=0,INT(N25)+下拉列表!$H$5,N25)&lt;=$B$1),AND(F25&lt;&gt;"等待他人",OR(COUNTIF(Q25,"*止损*")&gt;0,COUNTIF(Q25,"*阻塞*")&gt;0))),"1 立即处理",IF(OR(R25="强制今日",AND(F25="等待他人",M25=""),AND(ISNUMBER(M25),IF(MOD(M25,1)=0,INT(M25)+下拉列表!$H$2,M25)&lt;=$B$1),AND(ISNUMBER(N25),INT(IF(MOD(N25,1)=0,INT(N25)+下拉列表!$H$5,N25))=INT($B$1),IF(MOD(N25,1)=0,INT(N25)+下拉列表!$H$5,N25)&gt;$B$1),AND(ISNUMBER(N25),INT(IF(MOD(N25,1)=0,INT(N25)+下拉列表!$H$5,N25))=INT($B$1)+1),AND(COUNTIF(Q25,"*领导DDL*")&gt;0,ISNUMBER(N25),INT(IF(MOD(N25,1)=0,INT(N25)+下拉列表!$H$5,N25))&lt;=INT($B$1)+2)),"2 今日处理",IF(AND(F25="等待他人",ISNUMBER(M25),IF(MOD(M25,1)=0,INT(M25)+下拉列表!$H$2,M25)&gt;$B$1),"4 暂不关注","3 近期关注")))))</f>
        <v/>
      </c>
      <c r="C25" s="26"/>
      <c r="D25" s="26"/>
      <c r="E25" s="26"/>
      <c r="F25" s="26"/>
      <c r="G25" s="26"/>
      <c r="H25" s="26"/>
      <c r="I25" s="26"/>
      <c r="J25" s="26"/>
      <c r="K25" s="32"/>
      <c r="L25" s="32"/>
      <c r="M25" s="33"/>
      <c r="N25" s="33"/>
      <c r="O25" s="34" t="str">
        <f ca="1">IF(E25="","",IF(L25="","",MAX(0,INT($B$1)-INT(L25))))</f>
        <v/>
      </c>
      <c r="P25" s="26"/>
      <c r="Q25" s="26"/>
      <c r="R25" s="26"/>
    </row>
    <row r="26" spans="1:18">
      <c r="A26" s="26"/>
      <c r="B26" s="26" t="str">
        <f ca="1">IF(E26="","",IF(OR(F26="已完成",F26="已取消",F26="已移交"),"4 暂不关注",IF(OR(R26="强制立即",A26="▶",AND(ISNUMBER(N26),IF(MOD(N26,1)=0,INT(N26)+下拉列表!$H$5,N26)&lt;=$B$1),AND(F26&lt;&gt;"等待他人",OR(COUNTIF(Q26,"*止损*")&gt;0,COUNTIF(Q26,"*阻塞*")&gt;0))),"1 立即处理",IF(OR(R26="强制今日",AND(F26="等待他人",M26=""),AND(ISNUMBER(M26),IF(MOD(M26,1)=0,INT(M26)+下拉列表!$H$2,M26)&lt;=$B$1),AND(ISNUMBER(N26),INT(IF(MOD(N26,1)=0,INT(N26)+下拉列表!$H$5,N26))=INT($B$1),IF(MOD(N26,1)=0,INT(N26)+下拉列表!$H$5,N26)&gt;$B$1),AND(ISNUMBER(N26),INT(IF(MOD(N26,1)=0,INT(N26)+下拉列表!$H$5,N26))=INT($B$1)+1),AND(COUNTIF(Q26,"*领导DDL*")&gt;0,ISNUMBER(N26),INT(IF(MOD(N26,1)=0,INT(N26)+下拉列表!$H$5,N26))&lt;=INT($B$1)+2)),"2 今日处理",IF(AND(F26="等待他人",ISNUMBER(M26),IF(MOD(M26,1)=0,INT(M26)+下拉列表!$H$2,M26)&gt;$B$1),"4 暂不关注","3 近期关注")))))</f>
        <v/>
      </c>
      <c r="C26" s="26"/>
      <c r="D26" s="26"/>
      <c r="E26" s="26"/>
      <c r="F26" s="26"/>
      <c r="G26" s="26"/>
      <c r="H26" s="26"/>
      <c r="I26" s="26"/>
      <c r="J26" s="26"/>
      <c r="K26" s="32"/>
      <c r="L26" s="32"/>
      <c r="M26" s="33"/>
      <c r="N26" s="33"/>
      <c r="O26" s="34" t="str">
        <f ca="1">IF(E26="","",IF(L26="","",MAX(0,INT($B$1)-INT(L26))))</f>
        <v/>
      </c>
      <c r="P26" s="26"/>
      <c r="Q26" s="26"/>
      <c r="R26" s="26"/>
    </row>
    <row r="27" spans="1:18">
      <c r="A27" s="26"/>
      <c r="B27" s="26" t="str">
        <f ca="1">IF(E27="","",IF(OR(F27="已完成",F27="已取消",F27="已移交"),"4 暂不关注",IF(OR(R27="强制立即",A27="▶",AND(ISNUMBER(N27),IF(MOD(N27,1)=0,INT(N27)+下拉列表!$H$5,N27)&lt;=$B$1),AND(F27&lt;&gt;"等待他人",OR(COUNTIF(Q27,"*止损*")&gt;0,COUNTIF(Q27,"*阻塞*")&gt;0))),"1 立即处理",IF(OR(R27="强制今日",AND(F27="等待他人",M27=""),AND(ISNUMBER(M27),IF(MOD(M27,1)=0,INT(M27)+下拉列表!$H$2,M27)&lt;=$B$1),AND(ISNUMBER(N27),INT(IF(MOD(N27,1)=0,INT(N27)+下拉列表!$H$5,N27))=INT($B$1),IF(MOD(N27,1)=0,INT(N27)+下拉列表!$H$5,N27)&gt;$B$1),AND(ISNUMBER(N27),INT(IF(MOD(N27,1)=0,INT(N27)+下拉列表!$H$5,N27))=INT($B$1)+1),AND(COUNTIF(Q27,"*领导DDL*")&gt;0,ISNUMBER(N27),INT(IF(MOD(N27,1)=0,INT(N27)+下拉列表!$H$5,N27))&lt;=INT($B$1)+2)),"2 今日处理",IF(AND(F27="等待他人",ISNUMBER(M27),IF(MOD(M27,1)=0,INT(M27)+下拉列表!$H$2,M27)&gt;$B$1),"4 暂不关注","3 近期关注")))))</f>
        <v/>
      </c>
      <c r="C27" s="26"/>
      <c r="D27" s="26"/>
      <c r="E27" s="26"/>
      <c r="F27" s="26"/>
      <c r="G27" s="26"/>
      <c r="H27" s="26"/>
      <c r="I27" s="26"/>
      <c r="J27" s="26"/>
      <c r="K27" s="32"/>
      <c r="L27" s="32"/>
      <c r="M27" s="33"/>
      <c r="N27" s="33"/>
      <c r="O27" s="34" t="str">
        <f ca="1">IF(E27="","",IF(L27="","",MAX(0,INT($B$1)-INT(L27))))</f>
        <v/>
      </c>
      <c r="P27" s="26"/>
      <c r="Q27" s="26"/>
      <c r="R27" s="26"/>
    </row>
    <row r="28" spans="1:18">
      <c r="A28" s="26"/>
      <c r="B28" s="26" t="str">
        <f ca="1">IF(E28="","",IF(OR(F28="已完成",F28="已取消",F28="已移交"),"4 暂不关注",IF(OR(R28="强制立即",A28="▶",AND(ISNUMBER(N28),IF(MOD(N28,1)=0,INT(N28)+下拉列表!$H$5,N28)&lt;=$B$1),AND(F28&lt;&gt;"等待他人",OR(COUNTIF(Q28,"*止损*")&gt;0,COUNTIF(Q28,"*阻塞*")&gt;0))),"1 立即处理",IF(OR(R28="强制今日",AND(F28="等待他人",M28=""),AND(ISNUMBER(M28),IF(MOD(M28,1)=0,INT(M28)+下拉列表!$H$2,M28)&lt;=$B$1),AND(ISNUMBER(N28),INT(IF(MOD(N28,1)=0,INT(N28)+下拉列表!$H$5,N28))=INT($B$1),IF(MOD(N28,1)=0,INT(N28)+下拉列表!$H$5,N28)&gt;$B$1),AND(ISNUMBER(N28),INT(IF(MOD(N28,1)=0,INT(N28)+下拉列表!$H$5,N28))=INT($B$1)+1),AND(COUNTIF(Q28,"*领导DDL*")&gt;0,ISNUMBER(N28),INT(IF(MOD(N28,1)=0,INT(N28)+下拉列表!$H$5,N28))&lt;=INT($B$1)+2)),"2 今日处理",IF(AND(F28="等待他人",ISNUMBER(M28),IF(MOD(M28,1)=0,INT(M28)+下拉列表!$H$2,M28)&gt;$B$1),"4 暂不关注","3 近期关注")))))</f>
        <v/>
      </c>
      <c r="C28" s="26"/>
      <c r="D28" s="26"/>
      <c r="E28" s="26"/>
      <c r="F28" s="26"/>
      <c r="G28" s="26"/>
      <c r="H28" s="26"/>
      <c r="I28" s="26"/>
      <c r="J28" s="26"/>
      <c r="K28" s="32"/>
      <c r="L28" s="32"/>
      <c r="M28" s="33"/>
      <c r="N28" s="33"/>
      <c r="O28" s="34" t="str">
        <f ca="1">IF(E28="","",IF(L28="","",MAX(0,INT($B$1)-INT(L28))))</f>
        <v/>
      </c>
      <c r="P28" s="26"/>
      <c r="Q28" s="26"/>
      <c r="R28" s="26"/>
    </row>
    <row r="29" spans="1:18">
      <c r="A29" s="26"/>
      <c r="B29" s="26" t="str">
        <f ca="1">IF(E29="","",IF(OR(F29="已完成",F29="已取消",F29="已移交"),"4 暂不关注",IF(OR(R29="强制立即",A29="▶",AND(ISNUMBER(N29),IF(MOD(N29,1)=0,INT(N29)+下拉列表!$H$5,N29)&lt;=$B$1),AND(F29&lt;&gt;"等待他人",OR(COUNTIF(Q29,"*止损*")&gt;0,COUNTIF(Q29,"*阻塞*")&gt;0))),"1 立即处理",IF(OR(R29="强制今日",AND(F29="等待他人",M29=""),AND(ISNUMBER(M29),IF(MOD(M29,1)=0,INT(M29)+下拉列表!$H$2,M29)&lt;=$B$1),AND(ISNUMBER(N29),INT(IF(MOD(N29,1)=0,INT(N29)+下拉列表!$H$5,N29))=INT($B$1),IF(MOD(N29,1)=0,INT(N29)+下拉列表!$H$5,N29)&gt;$B$1),AND(ISNUMBER(N29),INT(IF(MOD(N29,1)=0,INT(N29)+下拉列表!$H$5,N29))=INT($B$1)+1),AND(COUNTIF(Q29,"*领导DDL*")&gt;0,ISNUMBER(N29),INT(IF(MOD(N29,1)=0,INT(N29)+下拉列表!$H$5,N29))&lt;=INT($B$1)+2)),"2 今日处理",IF(AND(F29="等待他人",ISNUMBER(M29),IF(MOD(M29,1)=0,INT(M29)+下拉列表!$H$2,M29)&gt;$B$1),"4 暂不关注","3 近期关注")))))</f>
        <v/>
      </c>
      <c r="C29" s="26"/>
      <c r="D29" s="26"/>
      <c r="E29" s="26"/>
      <c r="F29" s="26"/>
      <c r="G29" s="26"/>
      <c r="H29" s="26"/>
      <c r="I29" s="26"/>
      <c r="J29" s="26"/>
      <c r="K29" s="32"/>
      <c r="L29" s="32"/>
      <c r="M29" s="33"/>
      <c r="N29" s="33"/>
      <c r="O29" s="34" t="str">
        <f ca="1">IF(E29="","",IF(L29="","",MAX(0,INT($B$1)-INT(L29))))</f>
        <v/>
      </c>
      <c r="P29" s="26"/>
      <c r="Q29" s="26"/>
      <c r="R29" s="26"/>
    </row>
    <row r="30" spans="1:18">
      <c r="A30" s="26"/>
      <c r="B30" s="26" t="str">
        <f ca="1">IF(E30="","",IF(OR(F30="已完成",F30="已取消",F30="已移交"),"4 暂不关注",IF(OR(R30="强制立即",A30="▶",AND(ISNUMBER(N30),IF(MOD(N30,1)=0,INT(N30)+下拉列表!$H$5,N30)&lt;=$B$1),AND(F30&lt;&gt;"等待他人",OR(COUNTIF(Q30,"*止损*")&gt;0,COUNTIF(Q30,"*阻塞*")&gt;0))),"1 立即处理",IF(OR(R30="强制今日",AND(F30="等待他人",M30=""),AND(ISNUMBER(M30),IF(MOD(M30,1)=0,INT(M30)+下拉列表!$H$2,M30)&lt;=$B$1),AND(ISNUMBER(N30),INT(IF(MOD(N30,1)=0,INT(N30)+下拉列表!$H$5,N30))=INT($B$1),IF(MOD(N30,1)=0,INT(N30)+下拉列表!$H$5,N30)&gt;$B$1),AND(ISNUMBER(N30),INT(IF(MOD(N30,1)=0,INT(N30)+下拉列表!$H$5,N30))=INT($B$1)+1),AND(COUNTIF(Q30,"*领导DDL*")&gt;0,ISNUMBER(N30),INT(IF(MOD(N30,1)=0,INT(N30)+下拉列表!$H$5,N30))&lt;=INT($B$1)+2)),"2 今日处理",IF(AND(F30="等待他人",ISNUMBER(M30),IF(MOD(M30,1)=0,INT(M30)+下拉列表!$H$2,M30)&gt;$B$1),"4 暂不关注","3 近期关注")))))</f>
        <v/>
      </c>
      <c r="C30" s="26"/>
      <c r="D30" s="26"/>
      <c r="E30" s="26"/>
      <c r="F30" s="26"/>
      <c r="G30" s="26"/>
      <c r="H30" s="26"/>
      <c r="I30" s="26"/>
      <c r="J30" s="26"/>
      <c r="K30" s="32"/>
      <c r="L30" s="32"/>
      <c r="M30" s="33"/>
      <c r="N30" s="33"/>
      <c r="O30" s="34" t="str">
        <f ca="1">IF(E30="","",IF(L30="","",MAX(0,INT($B$1)-INT(L30))))</f>
        <v/>
      </c>
      <c r="P30" s="26"/>
      <c r="Q30" s="26"/>
      <c r="R30" s="26"/>
    </row>
    <row r="31" spans="1:18">
      <c r="A31" s="26"/>
      <c r="B31" s="26" t="str">
        <f ca="1">IF(E31="","",IF(OR(F31="已完成",F31="已取消",F31="已移交"),"4 暂不关注",IF(OR(R31="强制立即",A31="▶",AND(ISNUMBER(N31),IF(MOD(N31,1)=0,INT(N31)+下拉列表!$H$5,N31)&lt;=$B$1),AND(F31&lt;&gt;"等待他人",OR(COUNTIF(Q31,"*止损*")&gt;0,COUNTIF(Q31,"*阻塞*")&gt;0))),"1 立即处理",IF(OR(R31="强制今日",AND(F31="等待他人",M31=""),AND(ISNUMBER(M31),IF(MOD(M31,1)=0,INT(M31)+下拉列表!$H$2,M31)&lt;=$B$1),AND(ISNUMBER(N31),INT(IF(MOD(N31,1)=0,INT(N31)+下拉列表!$H$5,N31))=INT($B$1),IF(MOD(N31,1)=0,INT(N31)+下拉列表!$H$5,N31)&gt;$B$1),AND(ISNUMBER(N31),INT(IF(MOD(N31,1)=0,INT(N31)+下拉列表!$H$5,N31))=INT($B$1)+1),AND(COUNTIF(Q31,"*领导DDL*")&gt;0,ISNUMBER(N31),INT(IF(MOD(N31,1)=0,INT(N31)+下拉列表!$H$5,N31))&lt;=INT($B$1)+2)),"2 今日处理",IF(AND(F31="等待他人",ISNUMBER(M31),IF(MOD(M31,1)=0,INT(M31)+下拉列表!$H$2,M31)&gt;$B$1),"4 暂不关注","3 近期关注")))))</f>
        <v/>
      </c>
      <c r="C31" s="26"/>
      <c r="D31" s="26"/>
      <c r="E31" s="26"/>
      <c r="F31" s="26"/>
      <c r="G31" s="26"/>
      <c r="H31" s="26"/>
      <c r="I31" s="26"/>
      <c r="J31" s="26"/>
      <c r="K31" s="32"/>
      <c r="L31" s="32"/>
      <c r="M31" s="33"/>
      <c r="N31" s="33"/>
      <c r="O31" s="34" t="str">
        <f ca="1">IF(E31="","",IF(L31="","",MAX(0,INT($B$1)-INT(L31))))</f>
        <v/>
      </c>
      <c r="P31" s="26"/>
      <c r="Q31" s="26"/>
      <c r="R31" s="26"/>
    </row>
    <row r="32" spans="1:18">
      <c r="A32" s="26"/>
      <c r="B32" s="26" t="str">
        <f ca="1">IF(E32="","",IF(OR(F32="已完成",F32="已取消",F32="已移交"),"4 暂不关注",IF(OR(R32="强制立即",A32="▶",AND(ISNUMBER(N32),IF(MOD(N32,1)=0,INT(N32)+下拉列表!$H$5,N32)&lt;=$B$1),AND(F32&lt;&gt;"等待他人",OR(COUNTIF(Q32,"*止损*")&gt;0,COUNTIF(Q32,"*阻塞*")&gt;0))),"1 立即处理",IF(OR(R32="强制今日",AND(F32="等待他人",M32=""),AND(ISNUMBER(M32),IF(MOD(M32,1)=0,INT(M32)+下拉列表!$H$2,M32)&lt;=$B$1),AND(ISNUMBER(N32),INT(IF(MOD(N32,1)=0,INT(N32)+下拉列表!$H$5,N32))=INT($B$1),IF(MOD(N32,1)=0,INT(N32)+下拉列表!$H$5,N32)&gt;$B$1),AND(ISNUMBER(N32),INT(IF(MOD(N32,1)=0,INT(N32)+下拉列表!$H$5,N32))=INT($B$1)+1),AND(COUNTIF(Q32,"*领导DDL*")&gt;0,ISNUMBER(N32),INT(IF(MOD(N32,1)=0,INT(N32)+下拉列表!$H$5,N32))&lt;=INT($B$1)+2)),"2 今日处理",IF(AND(F32="等待他人",ISNUMBER(M32),IF(MOD(M32,1)=0,INT(M32)+下拉列表!$H$2,M32)&gt;$B$1),"4 暂不关注","3 近期关注")))))</f>
        <v/>
      </c>
      <c r="C32" s="26"/>
      <c r="D32" s="26"/>
      <c r="E32" s="26"/>
      <c r="F32" s="26"/>
      <c r="G32" s="26"/>
      <c r="H32" s="26"/>
      <c r="I32" s="26"/>
      <c r="J32" s="26"/>
      <c r="K32" s="32"/>
      <c r="L32" s="32"/>
      <c r="M32" s="33"/>
      <c r="N32" s="33"/>
      <c r="O32" s="34" t="str">
        <f ca="1">IF(E32="","",IF(L32="","",MAX(0,INT($B$1)-INT(L32))))</f>
        <v/>
      </c>
      <c r="P32" s="26"/>
      <c r="Q32" s="26"/>
      <c r="R32" s="26"/>
    </row>
    <row r="33" spans="1:18">
      <c r="A33" s="26"/>
      <c r="B33" s="26" t="str">
        <f ca="1">IF(E33="","",IF(OR(F33="已完成",F33="已取消",F33="已移交"),"4 暂不关注",IF(OR(R33="强制立即",A33="▶",AND(ISNUMBER(N33),IF(MOD(N33,1)=0,INT(N33)+下拉列表!$H$5,N33)&lt;=$B$1),AND(F33&lt;&gt;"等待他人",OR(COUNTIF(Q33,"*止损*")&gt;0,COUNTIF(Q33,"*阻塞*")&gt;0))),"1 立即处理",IF(OR(R33="强制今日",AND(F33="等待他人",M33=""),AND(ISNUMBER(M33),IF(MOD(M33,1)=0,INT(M33)+下拉列表!$H$2,M33)&lt;=$B$1),AND(ISNUMBER(N33),INT(IF(MOD(N33,1)=0,INT(N33)+下拉列表!$H$5,N33))=INT($B$1),IF(MOD(N33,1)=0,INT(N33)+下拉列表!$H$5,N33)&gt;$B$1),AND(ISNUMBER(N33),INT(IF(MOD(N33,1)=0,INT(N33)+下拉列表!$H$5,N33))=INT($B$1)+1),AND(COUNTIF(Q33,"*领导DDL*")&gt;0,ISNUMBER(N33),INT(IF(MOD(N33,1)=0,INT(N33)+下拉列表!$H$5,N33))&lt;=INT($B$1)+2)),"2 今日处理",IF(AND(F33="等待他人",ISNUMBER(M33),IF(MOD(M33,1)=0,INT(M33)+下拉列表!$H$2,M33)&gt;$B$1),"4 暂不关注","3 近期关注")))))</f>
        <v/>
      </c>
      <c r="C33" s="26"/>
      <c r="D33" s="26"/>
      <c r="E33" s="26"/>
      <c r="F33" s="26"/>
      <c r="G33" s="26"/>
      <c r="H33" s="26"/>
      <c r="I33" s="26"/>
      <c r="J33" s="26"/>
      <c r="K33" s="32"/>
      <c r="L33" s="32"/>
      <c r="M33" s="33"/>
      <c r="N33" s="33"/>
      <c r="O33" s="34" t="str">
        <f ca="1">IF(E33="","",IF(L33="","",MAX(0,INT($B$1)-INT(L33))))</f>
        <v/>
      </c>
      <c r="P33" s="26"/>
      <c r="Q33" s="26"/>
      <c r="R33" s="26"/>
    </row>
    <row r="34" spans="1:18">
      <c r="A34" s="26"/>
      <c r="B34" s="26" t="str">
        <f ca="1">IF(E34="","",IF(OR(F34="已完成",F34="已取消",F34="已移交"),"4 暂不关注",IF(OR(R34="强制立即",A34="▶",AND(ISNUMBER(N34),IF(MOD(N34,1)=0,INT(N34)+下拉列表!$H$5,N34)&lt;=$B$1),AND(F34&lt;&gt;"等待他人",OR(COUNTIF(Q34,"*止损*")&gt;0,COUNTIF(Q34,"*阻塞*")&gt;0))),"1 立即处理",IF(OR(R34="强制今日",AND(F34="等待他人",M34=""),AND(ISNUMBER(M34),IF(MOD(M34,1)=0,INT(M34)+下拉列表!$H$2,M34)&lt;=$B$1),AND(ISNUMBER(N34),INT(IF(MOD(N34,1)=0,INT(N34)+下拉列表!$H$5,N34))=INT($B$1),IF(MOD(N34,1)=0,INT(N34)+下拉列表!$H$5,N34)&gt;$B$1),AND(ISNUMBER(N34),INT(IF(MOD(N34,1)=0,INT(N34)+下拉列表!$H$5,N34))=INT($B$1)+1),AND(COUNTIF(Q34,"*领导DDL*")&gt;0,ISNUMBER(N34),INT(IF(MOD(N34,1)=0,INT(N34)+下拉列表!$H$5,N34))&lt;=INT($B$1)+2)),"2 今日处理",IF(AND(F34="等待他人",ISNUMBER(M34),IF(MOD(M34,1)=0,INT(M34)+下拉列表!$H$2,M34)&gt;$B$1),"4 暂不关注","3 近期关注")))))</f>
        <v/>
      </c>
      <c r="C34" s="26"/>
      <c r="D34" s="26"/>
      <c r="E34" s="26"/>
      <c r="F34" s="26"/>
      <c r="G34" s="26"/>
      <c r="H34" s="26"/>
      <c r="I34" s="26"/>
      <c r="J34" s="26"/>
      <c r="K34" s="32"/>
      <c r="L34" s="32"/>
      <c r="M34" s="33"/>
      <c r="N34" s="33"/>
      <c r="O34" s="34" t="str">
        <f ca="1">IF(E34="","",IF(L34="","",MAX(0,INT($B$1)-INT(L34))))</f>
        <v/>
      </c>
      <c r="P34" s="26"/>
      <c r="Q34" s="26"/>
      <c r="R34" s="26"/>
    </row>
    <row r="35" spans="1:18">
      <c r="A35" s="26"/>
      <c r="B35" s="26" t="str">
        <f ca="1">IF(E35="","",IF(OR(F35="已完成",F35="已取消",F35="已移交"),"4 暂不关注",IF(OR(R35="强制立即",A35="▶",AND(ISNUMBER(N35),IF(MOD(N35,1)=0,INT(N35)+下拉列表!$H$5,N35)&lt;=$B$1),AND(F35&lt;&gt;"等待他人",OR(COUNTIF(Q35,"*止损*")&gt;0,COUNTIF(Q35,"*阻塞*")&gt;0))),"1 立即处理",IF(OR(R35="强制今日",AND(F35="等待他人",M35=""),AND(ISNUMBER(M35),IF(MOD(M35,1)=0,INT(M35)+下拉列表!$H$2,M35)&lt;=$B$1),AND(ISNUMBER(N35),INT(IF(MOD(N35,1)=0,INT(N35)+下拉列表!$H$5,N35))=INT($B$1),IF(MOD(N35,1)=0,INT(N35)+下拉列表!$H$5,N35)&gt;$B$1),AND(ISNUMBER(N35),INT(IF(MOD(N35,1)=0,INT(N35)+下拉列表!$H$5,N35))=INT($B$1)+1),AND(COUNTIF(Q35,"*领导DDL*")&gt;0,ISNUMBER(N35),INT(IF(MOD(N35,1)=0,INT(N35)+下拉列表!$H$5,N35))&lt;=INT($B$1)+2)),"2 今日处理",IF(AND(F35="等待他人",ISNUMBER(M35),IF(MOD(M35,1)=0,INT(M35)+下拉列表!$H$2,M35)&gt;$B$1),"4 暂不关注","3 近期关注")))))</f>
        <v/>
      </c>
      <c r="C35" s="26"/>
      <c r="D35" s="26"/>
      <c r="E35" s="26"/>
      <c r="F35" s="26"/>
      <c r="G35" s="26"/>
      <c r="H35" s="26"/>
      <c r="I35" s="26"/>
      <c r="J35" s="26"/>
      <c r="K35" s="32"/>
      <c r="L35" s="32"/>
      <c r="M35" s="33"/>
      <c r="N35" s="33"/>
      <c r="O35" s="34" t="str">
        <f ca="1">IF(E35="","",IF(L35="","",MAX(0,INT($B$1)-INT(L35))))</f>
        <v/>
      </c>
      <c r="P35" s="26"/>
      <c r="Q35" s="26"/>
      <c r="R35" s="26"/>
    </row>
    <row r="36" spans="1:18">
      <c r="A36" s="26"/>
      <c r="B36" s="26" t="str">
        <f ca="1">IF(E36="","",IF(OR(F36="已完成",F36="已取消",F36="已移交"),"4 暂不关注",IF(OR(R36="强制立即",A36="▶",AND(ISNUMBER(N36),IF(MOD(N36,1)=0,INT(N36)+下拉列表!$H$5,N36)&lt;=$B$1),AND(F36&lt;&gt;"等待他人",OR(COUNTIF(Q36,"*止损*")&gt;0,COUNTIF(Q36,"*阻塞*")&gt;0))),"1 立即处理",IF(OR(R36="强制今日",AND(F36="等待他人",M36=""),AND(ISNUMBER(M36),IF(MOD(M36,1)=0,INT(M36)+下拉列表!$H$2,M36)&lt;=$B$1),AND(ISNUMBER(N36),INT(IF(MOD(N36,1)=0,INT(N36)+下拉列表!$H$5,N36))=INT($B$1),IF(MOD(N36,1)=0,INT(N36)+下拉列表!$H$5,N36)&gt;$B$1),AND(ISNUMBER(N36),INT(IF(MOD(N36,1)=0,INT(N36)+下拉列表!$H$5,N36))=INT($B$1)+1),AND(COUNTIF(Q36,"*领导DDL*")&gt;0,ISNUMBER(N36),INT(IF(MOD(N36,1)=0,INT(N36)+下拉列表!$H$5,N36))&lt;=INT($B$1)+2)),"2 今日处理",IF(AND(F36="等待他人",ISNUMBER(M36),IF(MOD(M36,1)=0,INT(M36)+下拉列表!$H$2,M36)&gt;$B$1),"4 暂不关注","3 近期关注")))))</f>
        <v/>
      </c>
      <c r="C36" s="26"/>
      <c r="D36" s="26"/>
      <c r="E36" s="26"/>
      <c r="F36" s="26"/>
      <c r="G36" s="26"/>
      <c r="H36" s="26"/>
      <c r="I36" s="26"/>
      <c r="J36" s="26"/>
      <c r="K36" s="32"/>
      <c r="L36" s="32"/>
      <c r="M36" s="33"/>
      <c r="N36" s="33"/>
      <c r="O36" s="34" t="str">
        <f ca="1">IF(E36="","",IF(L36="","",MAX(0,INT($B$1)-INT(L36))))</f>
        <v/>
      </c>
      <c r="P36" s="26"/>
      <c r="Q36" s="26"/>
      <c r="R36" s="26"/>
    </row>
    <row r="37" spans="1:18">
      <c r="A37" s="26"/>
      <c r="B37" s="26" t="str">
        <f ca="1">IF(E37="","",IF(OR(F37="已完成",F37="已取消",F37="已移交"),"4 暂不关注",IF(OR(R37="强制立即",A37="▶",AND(ISNUMBER(N37),IF(MOD(N37,1)=0,INT(N37)+下拉列表!$H$5,N37)&lt;=$B$1),AND(F37&lt;&gt;"等待他人",OR(COUNTIF(Q37,"*止损*")&gt;0,COUNTIF(Q37,"*阻塞*")&gt;0))),"1 立即处理",IF(OR(R37="强制今日",AND(F37="等待他人",M37=""),AND(ISNUMBER(M37),IF(MOD(M37,1)=0,INT(M37)+下拉列表!$H$2,M37)&lt;=$B$1),AND(ISNUMBER(N37),INT(IF(MOD(N37,1)=0,INT(N37)+下拉列表!$H$5,N37))=INT($B$1),IF(MOD(N37,1)=0,INT(N37)+下拉列表!$H$5,N37)&gt;$B$1),AND(ISNUMBER(N37),INT(IF(MOD(N37,1)=0,INT(N37)+下拉列表!$H$5,N37))=INT($B$1)+1),AND(COUNTIF(Q37,"*领导DDL*")&gt;0,ISNUMBER(N37),INT(IF(MOD(N37,1)=0,INT(N37)+下拉列表!$H$5,N37))&lt;=INT($B$1)+2)),"2 今日处理",IF(AND(F37="等待他人",ISNUMBER(M37),IF(MOD(M37,1)=0,INT(M37)+下拉列表!$H$2,M37)&gt;$B$1),"4 暂不关注","3 近期关注")))))</f>
        <v/>
      </c>
      <c r="C37" s="26"/>
      <c r="D37" s="26"/>
      <c r="E37" s="26"/>
      <c r="F37" s="26"/>
      <c r="G37" s="26"/>
      <c r="H37" s="26"/>
      <c r="I37" s="26"/>
      <c r="J37" s="26"/>
      <c r="K37" s="32"/>
      <c r="L37" s="32"/>
      <c r="M37" s="33"/>
      <c r="N37" s="33"/>
      <c r="O37" s="34" t="str">
        <f ca="1">IF(E37="","",IF(L37="","",MAX(0,INT($B$1)-INT(L37))))</f>
        <v/>
      </c>
      <c r="P37" s="26"/>
      <c r="Q37" s="26"/>
      <c r="R37" s="26"/>
    </row>
    <row r="38" spans="1:18">
      <c r="A38" s="26"/>
      <c r="B38" s="26" t="str">
        <f ca="1">IF(E38="","",IF(OR(F38="已完成",F38="已取消",F38="已移交"),"4 暂不关注",IF(OR(R38="强制立即",A38="▶",AND(ISNUMBER(N38),IF(MOD(N38,1)=0,INT(N38)+下拉列表!$H$5,N38)&lt;=$B$1),AND(F38&lt;&gt;"等待他人",OR(COUNTIF(Q38,"*止损*")&gt;0,COUNTIF(Q38,"*阻塞*")&gt;0))),"1 立即处理",IF(OR(R38="强制今日",AND(F38="等待他人",M38=""),AND(ISNUMBER(M38),IF(MOD(M38,1)=0,INT(M38)+下拉列表!$H$2,M38)&lt;=$B$1),AND(ISNUMBER(N38),INT(IF(MOD(N38,1)=0,INT(N38)+下拉列表!$H$5,N38))=INT($B$1),IF(MOD(N38,1)=0,INT(N38)+下拉列表!$H$5,N38)&gt;$B$1),AND(ISNUMBER(N38),INT(IF(MOD(N38,1)=0,INT(N38)+下拉列表!$H$5,N38))=INT($B$1)+1),AND(COUNTIF(Q38,"*领导DDL*")&gt;0,ISNUMBER(N38),INT(IF(MOD(N38,1)=0,INT(N38)+下拉列表!$H$5,N38))&lt;=INT($B$1)+2)),"2 今日处理",IF(AND(F38="等待他人",ISNUMBER(M38),IF(MOD(M38,1)=0,INT(M38)+下拉列表!$H$2,M38)&gt;$B$1),"4 暂不关注","3 近期关注")))))</f>
        <v/>
      </c>
      <c r="C38" s="26"/>
      <c r="D38" s="26"/>
      <c r="E38" s="26"/>
      <c r="F38" s="26"/>
      <c r="G38" s="26"/>
      <c r="H38" s="26"/>
      <c r="I38" s="26"/>
      <c r="J38" s="26"/>
      <c r="K38" s="32"/>
      <c r="L38" s="32"/>
      <c r="M38" s="33"/>
      <c r="N38" s="33"/>
      <c r="O38" s="34" t="str">
        <f ca="1">IF(E38="","",IF(L38="","",MAX(0,INT($B$1)-INT(L38))))</f>
        <v/>
      </c>
      <c r="P38" s="26"/>
      <c r="Q38" s="26"/>
      <c r="R38" s="26"/>
    </row>
    <row r="39" spans="1:18">
      <c r="A39" s="26"/>
      <c r="B39" s="26" t="str">
        <f ca="1">IF(E39="","",IF(OR(F39="已完成",F39="已取消",F39="已移交"),"4 暂不关注",IF(OR(R39="强制立即",A39="▶",AND(ISNUMBER(N39),IF(MOD(N39,1)=0,INT(N39)+下拉列表!$H$5,N39)&lt;=$B$1),AND(F39&lt;&gt;"等待他人",OR(COUNTIF(Q39,"*止损*")&gt;0,COUNTIF(Q39,"*阻塞*")&gt;0))),"1 立即处理",IF(OR(R39="强制今日",AND(F39="等待他人",M39=""),AND(ISNUMBER(M39),IF(MOD(M39,1)=0,INT(M39)+下拉列表!$H$2,M39)&lt;=$B$1),AND(ISNUMBER(N39),INT(IF(MOD(N39,1)=0,INT(N39)+下拉列表!$H$5,N39))=INT($B$1),IF(MOD(N39,1)=0,INT(N39)+下拉列表!$H$5,N39)&gt;$B$1),AND(ISNUMBER(N39),INT(IF(MOD(N39,1)=0,INT(N39)+下拉列表!$H$5,N39))=INT($B$1)+1),AND(COUNTIF(Q39,"*领导DDL*")&gt;0,ISNUMBER(N39),INT(IF(MOD(N39,1)=0,INT(N39)+下拉列表!$H$5,N39))&lt;=INT($B$1)+2)),"2 今日处理",IF(AND(F39="等待他人",ISNUMBER(M39),IF(MOD(M39,1)=0,INT(M39)+下拉列表!$H$2,M39)&gt;$B$1),"4 暂不关注","3 近期关注")))))</f>
        <v/>
      </c>
      <c r="C39" s="26"/>
      <c r="D39" s="26"/>
      <c r="E39" s="26"/>
      <c r="F39" s="26"/>
      <c r="G39" s="26"/>
      <c r="H39" s="26"/>
      <c r="I39" s="26"/>
      <c r="J39" s="26"/>
      <c r="K39" s="32"/>
      <c r="L39" s="32"/>
      <c r="M39" s="33"/>
      <c r="N39" s="33"/>
      <c r="O39" s="34" t="str">
        <f ca="1">IF(E39="","",IF(L39="","",MAX(0,INT($B$1)-INT(L39))))</f>
        <v/>
      </c>
      <c r="P39" s="26"/>
      <c r="Q39" s="26"/>
      <c r="R39" s="26"/>
    </row>
    <row r="40" spans="1:18">
      <c r="A40" s="26"/>
      <c r="B40" s="26" t="str">
        <f ca="1">IF(E40="","",IF(OR(F40="已完成",F40="已取消",F40="已移交"),"4 暂不关注",IF(OR(R40="强制立即",A40="▶",AND(ISNUMBER(N40),IF(MOD(N40,1)=0,INT(N40)+下拉列表!$H$5,N40)&lt;=$B$1),AND(F40&lt;&gt;"等待他人",OR(COUNTIF(Q40,"*止损*")&gt;0,COUNTIF(Q40,"*阻塞*")&gt;0))),"1 立即处理",IF(OR(R40="强制今日",AND(F40="等待他人",M40=""),AND(ISNUMBER(M40),IF(MOD(M40,1)=0,INT(M40)+下拉列表!$H$2,M40)&lt;=$B$1),AND(ISNUMBER(N40),INT(IF(MOD(N40,1)=0,INT(N40)+下拉列表!$H$5,N40))=INT($B$1),IF(MOD(N40,1)=0,INT(N40)+下拉列表!$H$5,N40)&gt;$B$1),AND(ISNUMBER(N40),INT(IF(MOD(N40,1)=0,INT(N40)+下拉列表!$H$5,N40))=INT($B$1)+1),AND(COUNTIF(Q40,"*领导DDL*")&gt;0,ISNUMBER(N40),INT(IF(MOD(N40,1)=0,INT(N40)+下拉列表!$H$5,N40))&lt;=INT($B$1)+2)),"2 今日处理",IF(AND(F40="等待他人",ISNUMBER(M40),IF(MOD(M40,1)=0,INT(M40)+下拉列表!$H$2,M40)&gt;$B$1),"4 暂不关注","3 近期关注")))))</f>
        <v/>
      </c>
      <c r="C40" s="26"/>
      <c r="D40" s="26"/>
      <c r="E40" s="26"/>
      <c r="F40" s="26"/>
      <c r="G40" s="26"/>
      <c r="H40" s="26"/>
      <c r="I40" s="26"/>
      <c r="J40" s="26"/>
      <c r="K40" s="32"/>
      <c r="L40" s="32"/>
      <c r="M40" s="33"/>
      <c r="N40" s="33"/>
      <c r="O40" s="34" t="str">
        <f ca="1">IF(E40="","",IF(L40="","",MAX(0,INT($B$1)-INT(L40))))</f>
        <v/>
      </c>
      <c r="P40" s="26"/>
      <c r="Q40" s="26"/>
      <c r="R40" s="26"/>
    </row>
    <row r="41" spans="1:18">
      <c r="A41" s="26"/>
      <c r="B41" s="26" t="str">
        <f ca="1">IF(E41="","",IF(OR(F41="已完成",F41="已取消",F41="已移交"),"4 暂不关注",IF(OR(R41="强制立即",A41="▶",AND(ISNUMBER(N41),IF(MOD(N41,1)=0,INT(N41)+下拉列表!$H$5,N41)&lt;=$B$1),AND(F41&lt;&gt;"等待他人",OR(COUNTIF(Q41,"*止损*")&gt;0,COUNTIF(Q41,"*阻塞*")&gt;0))),"1 立即处理",IF(OR(R41="强制今日",AND(F41="等待他人",M41=""),AND(ISNUMBER(M41),IF(MOD(M41,1)=0,INT(M41)+下拉列表!$H$2,M41)&lt;=$B$1),AND(ISNUMBER(N41),INT(IF(MOD(N41,1)=0,INT(N41)+下拉列表!$H$5,N41))=INT($B$1),IF(MOD(N41,1)=0,INT(N41)+下拉列表!$H$5,N41)&gt;$B$1),AND(ISNUMBER(N41),INT(IF(MOD(N41,1)=0,INT(N41)+下拉列表!$H$5,N41))=INT($B$1)+1),AND(COUNTIF(Q41,"*领导DDL*")&gt;0,ISNUMBER(N41),INT(IF(MOD(N41,1)=0,INT(N41)+下拉列表!$H$5,N41))&lt;=INT($B$1)+2)),"2 今日处理",IF(AND(F41="等待他人",ISNUMBER(M41),IF(MOD(M41,1)=0,INT(M41)+下拉列表!$H$2,M41)&gt;$B$1),"4 暂不关注","3 近期关注")))))</f>
        <v/>
      </c>
      <c r="C41" s="26"/>
      <c r="D41" s="26"/>
      <c r="E41" s="26"/>
      <c r="F41" s="26"/>
      <c r="G41" s="26"/>
      <c r="H41" s="26"/>
      <c r="I41" s="26"/>
      <c r="J41" s="26"/>
      <c r="K41" s="32"/>
      <c r="L41" s="32"/>
      <c r="M41" s="33"/>
      <c r="N41" s="33"/>
      <c r="O41" s="34" t="str">
        <f ca="1">IF(E41="","",IF(L41="","",MAX(0,INT($B$1)-INT(L41))))</f>
        <v/>
      </c>
      <c r="P41" s="26"/>
      <c r="Q41" s="26"/>
      <c r="R41" s="26"/>
    </row>
    <row r="42" spans="1:18">
      <c r="A42" s="26"/>
      <c r="B42" s="26" t="str">
        <f ca="1">IF(E42="","",IF(OR(F42="已完成",F42="已取消",F42="已移交"),"4 暂不关注",IF(OR(R42="强制立即",A42="▶",AND(ISNUMBER(N42),IF(MOD(N42,1)=0,INT(N42)+下拉列表!$H$5,N42)&lt;=$B$1),AND(F42&lt;&gt;"等待他人",OR(COUNTIF(Q42,"*止损*")&gt;0,COUNTIF(Q42,"*阻塞*")&gt;0))),"1 立即处理",IF(OR(R42="强制今日",AND(F42="等待他人",M42=""),AND(ISNUMBER(M42),IF(MOD(M42,1)=0,INT(M42)+下拉列表!$H$2,M42)&lt;=$B$1),AND(ISNUMBER(N42),INT(IF(MOD(N42,1)=0,INT(N42)+下拉列表!$H$5,N42))=INT($B$1),IF(MOD(N42,1)=0,INT(N42)+下拉列表!$H$5,N42)&gt;$B$1),AND(ISNUMBER(N42),INT(IF(MOD(N42,1)=0,INT(N42)+下拉列表!$H$5,N42))=INT($B$1)+1),AND(COUNTIF(Q42,"*领导DDL*")&gt;0,ISNUMBER(N42),INT(IF(MOD(N42,1)=0,INT(N42)+下拉列表!$H$5,N42))&lt;=INT($B$1)+2)),"2 今日处理",IF(AND(F42="等待他人",ISNUMBER(M42),IF(MOD(M42,1)=0,INT(M42)+下拉列表!$H$2,M42)&gt;$B$1),"4 暂不关注","3 近期关注")))))</f>
        <v/>
      </c>
      <c r="C42" s="26"/>
      <c r="D42" s="26"/>
      <c r="E42" s="26"/>
      <c r="F42" s="26"/>
      <c r="G42" s="26"/>
      <c r="H42" s="26"/>
      <c r="I42" s="26"/>
      <c r="J42" s="26"/>
      <c r="K42" s="32"/>
      <c r="L42" s="32"/>
      <c r="M42" s="33"/>
      <c r="N42" s="33"/>
      <c r="O42" s="34" t="str">
        <f ca="1">IF(E42="","",IF(L42="","",MAX(0,INT($B$1)-INT(L42))))</f>
        <v/>
      </c>
      <c r="P42" s="26"/>
      <c r="Q42" s="26"/>
      <c r="R42" s="26"/>
    </row>
    <row r="43" spans="1:18">
      <c r="A43" s="26"/>
      <c r="B43" s="26" t="str">
        <f ca="1">IF(E43="","",IF(OR(F43="已完成",F43="已取消",F43="已移交"),"4 暂不关注",IF(OR(R43="强制立即",A43="▶",AND(ISNUMBER(N43),IF(MOD(N43,1)=0,INT(N43)+下拉列表!$H$5,N43)&lt;=$B$1),AND(F43&lt;&gt;"等待他人",OR(COUNTIF(Q43,"*止损*")&gt;0,COUNTIF(Q43,"*阻塞*")&gt;0))),"1 立即处理",IF(OR(R43="强制今日",AND(F43="等待他人",M43=""),AND(ISNUMBER(M43),IF(MOD(M43,1)=0,INT(M43)+下拉列表!$H$2,M43)&lt;=$B$1),AND(ISNUMBER(N43),INT(IF(MOD(N43,1)=0,INT(N43)+下拉列表!$H$5,N43))=INT($B$1),IF(MOD(N43,1)=0,INT(N43)+下拉列表!$H$5,N43)&gt;$B$1),AND(ISNUMBER(N43),INT(IF(MOD(N43,1)=0,INT(N43)+下拉列表!$H$5,N43))=INT($B$1)+1),AND(COUNTIF(Q43,"*领导DDL*")&gt;0,ISNUMBER(N43),INT(IF(MOD(N43,1)=0,INT(N43)+下拉列表!$H$5,N43))&lt;=INT($B$1)+2)),"2 今日处理",IF(AND(F43="等待他人",ISNUMBER(M43),IF(MOD(M43,1)=0,INT(M43)+下拉列表!$H$2,M43)&gt;$B$1),"4 暂不关注","3 近期关注")))))</f>
        <v/>
      </c>
      <c r="C43" s="26"/>
      <c r="D43" s="26"/>
      <c r="E43" s="26"/>
      <c r="F43" s="26"/>
      <c r="G43" s="26"/>
      <c r="H43" s="26"/>
      <c r="I43" s="26"/>
      <c r="J43" s="26"/>
      <c r="K43" s="32"/>
      <c r="L43" s="32"/>
      <c r="M43" s="33"/>
      <c r="N43" s="33"/>
      <c r="O43" s="34" t="str">
        <f ca="1">IF(E43="","",IF(L43="","",MAX(0,INT($B$1)-INT(L43))))</f>
        <v/>
      </c>
      <c r="P43" s="26"/>
      <c r="Q43" s="26"/>
      <c r="R43" s="26"/>
    </row>
    <row r="44" spans="1:18">
      <c r="A44" s="26"/>
      <c r="B44" s="26" t="str">
        <f ca="1">IF(E44="","",IF(OR(F44="已完成",F44="已取消",F44="已移交"),"4 暂不关注",IF(OR(R44="强制立即",A44="▶",AND(ISNUMBER(N44),IF(MOD(N44,1)=0,INT(N44)+下拉列表!$H$5,N44)&lt;=$B$1),AND(F44&lt;&gt;"等待他人",OR(COUNTIF(Q44,"*止损*")&gt;0,COUNTIF(Q44,"*阻塞*")&gt;0))),"1 立即处理",IF(OR(R44="强制今日",AND(F44="等待他人",M44=""),AND(ISNUMBER(M44),IF(MOD(M44,1)=0,INT(M44)+下拉列表!$H$2,M44)&lt;=$B$1),AND(ISNUMBER(N44),INT(IF(MOD(N44,1)=0,INT(N44)+下拉列表!$H$5,N44))=INT($B$1),IF(MOD(N44,1)=0,INT(N44)+下拉列表!$H$5,N44)&gt;$B$1),AND(ISNUMBER(N44),INT(IF(MOD(N44,1)=0,INT(N44)+下拉列表!$H$5,N44))=INT($B$1)+1),AND(COUNTIF(Q44,"*领导DDL*")&gt;0,ISNUMBER(N44),INT(IF(MOD(N44,1)=0,INT(N44)+下拉列表!$H$5,N44))&lt;=INT($B$1)+2)),"2 今日处理",IF(AND(F44="等待他人",ISNUMBER(M44),IF(MOD(M44,1)=0,INT(M44)+下拉列表!$H$2,M44)&gt;$B$1),"4 暂不关注","3 近期关注")))))</f>
        <v/>
      </c>
      <c r="C44" s="26"/>
      <c r="D44" s="26"/>
      <c r="E44" s="26"/>
      <c r="F44" s="26"/>
      <c r="G44" s="26"/>
      <c r="H44" s="26"/>
      <c r="I44" s="26"/>
      <c r="J44" s="26"/>
      <c r="K44" s="32"/>
      <c r="L44" s="32"/>
      <c r="M44" s="33"/>
      <c r="N44" s="33"/>
      <c r="O44" s="34" t="str">
        <f ca="1">IF(E44="","",IF(L44="","",MAX(0,INT($B$1)-INT(L44))))</f>
        <v/>
      </c>
      <c r="P44" s="26"/>
      <c r="Q44" s="26"/>
      <c r="R44" s="26"/>
    </row>
    <row r="45" spans="1:18">
      <c r="A45" s="26"/>
      <c r="B45" s="26" t="str">
        <f ca="1">IF(E45="","",IF(OR(F45="已完成",F45="已取消",F45="已移交"),"4 暂不关注",IF(OR(R45="强制立即",A45="▶",AND(ISNUMBER(N45),IF(MOD(N45,1)=0,INT(N45)+下拉列表!$H$5,N45)&lt;=$B$1),AND(F45&lt;&gt;"等待他人",OR(COUNTIF(Q45,"*止损*")&gt;0,COUNTIF(Q45,"*阻塞*")&gt;0))),"1 立即处理",IF(OR(R45="强制今日",AND(F45="等待他人",M45=""),AND(ISNUMBER(M45),IF(MOD(M45,1)=0,INT(M45)+下拉列表!$H$2,M45)&lt;=$B$1),AND(ISNUMBER(N45),INT(IF(MOD(N45,1)=0,INT(N45)+下拉列表!$H$5,N45))=INT($B$1),IF(MOD(N45,1)=0,INT(N45)+下拉列表!$H$5,N45)&gt;$B$1),AND(ISNUMBER(N45),INT(IF(MOD(N45,1)=0,INT(N45)+下拉列表!$H$5,N45))=INT($B$1)+1),AND(COUNTIF(Q45,"*领导DDL*")&gt;0,ISNUMBER(N45),INT(IF(MOD(N45,1)=0,INT(N45)+下拉列表!$H$5,N45))&lt;=INT($B$1)+2)),"2 今日处理",IF(AND(F45="等待他人",ISNUMBER(M45),IF(MOD(M45,1)=0,INT(M45)+下拉列表!$H$2,M45)&gt;$B$1),"4 暂不关注","3 近期关注")))))</f>
        <v/>
      </c>
      <c r="C45" s="26"/>
      <c r="D45" s="26"/>
      <c r="E45" s="26"/>
      <c r="F45" s="26"/>
      <c r="G45" s="26"/>
      <c r="H45" s="26"/>
      <c r="I45" s="26"/>
      <c r="J45" s="26"/>
      <c r="K45" s="32"/>
      <c r="L45" s="32"/>
      <c r="M45" s="33"/>
      <c r="N45" s="33"/>
      <c r="O45" s="34" t="str">
        <f ca="1">IF(E45="","",IF(L45="","",MAX(0,INT($B$1)-INT(L45))))</f>
        <v/>
      </c>
      <c r="P45" s="26"/>
      <c r="Q45" s="26"/>
      <c r="R45" s="26"/>
    </row>
    <row r="46" spans="1:18">
      <c r="A46" s="26"/>
      <c r="B46" s="26" t="str">
        <f ca="1">IF(E46="","",IF(OR(F46="已完成",F46="已取消",F46="已移交"),"4 暂不关注",IF(OR(R46="强制立即",A46="▶",AND(ISNUMBER(N46),IF(MOD(N46,1)=0,INT(N46)+下拉列表!$H$5,N46)&lt;=$B$1),AND(F46&lt;&gt;"等待他人",OR(COUNTIF(Q46,"*止损*")&gt;0,COUNTIF(Q46,"*阻塞*")&gt;0))),"1 立即处理",IF(OR(R46="强制今日",AND(F46="等待他人",M46=""),AND(ISNUMBER(M46),IF(MOD(M46,1)=0,INT(M46)+下拉列表!$H$2,M46)&lt;=$B$1),AND(ISNUMBER(N46),INT(IF(MOD(N46,1)=0,INT(N46)+下拉列表!$H$5,N46))=INT($B$1),IF(MOD(N46,1)=0,INT(N46)+下拉列表!$H$5,N46)&gt;$B$1),AND(ISNUMBER(N46),INT(IF(MOD(N46,1)=0,INT(N46)+下拉列表!$H$5,N46))=INT($B$1)+1),AND(COUNTIF(Q46,"*领导DDL*")&gt;0,ISNUMBER(N46),INT(IF(MOD(N46,1)=0,INT(N46)+下拉列表!$H$5,N46))&lt;=INT($B$1)+2)),"2 今日处理",IF(AND(F46="等待他人",ISNUMBER(M46),IF(MOD(M46,1)=0,INT(M46)+下拉列表!$H$2,M46)&gt;$B$1),"4 暂不关注","3 近期关注")))))</f>
        <v/>
      </c>
      <c r="C46" s="26"/>
      <c r="D46" s="26"/>
      <c r="E46" s="26"/>
      <c r="F46" s="26"/>
      <c r="G46" s="26"/>
      <c r="H46" s="26"/>
      <c r="I46" s="26"/>
      <c r="J46" s="26"/>
      <c r="K46" s="32"/>
      <c r="L46" s="32"/>
      <c r="M46" s="33"/>
      <c r="N46" s="33"/>
      <c r="O46" s="34" t="str">
        <f ca="1">IF(E46="","",IF(L46="","",MAX(0,INT($B$1)-INT(L46))))</f>
        <v/>
      </c>
      <c r="P46" s="26"/>
      <c r="Q46" s="26"/>
      <c r="R46" s="26"/>
    </row>
    <row r="47" spans="1:18">
      <c r="A47" s="26"/>
      <c r="B47" s="26" t="str">
        <f ca="1">IF(E47="","",IF(OR(F47="已完成",F47="已取消",F47="已移交"),"4 暂不关注",IF(OR(R47="强制立即",A47="▶",AND(ISNUMBER(N47),IF(MOD(N47,1)=0,INT(N47)+下拉列表!$H$5,N47)&lt;=$B$1),AND(F47&lt;&gt;"等待他人",OR(COUNTIF(Q47,"*止损*")&gt;0,COUNTIF(Q47,"*阻塞*")&gt;0))),"1 立即处理",IF(OR(R47="强制今日",AND(F47="等待他人",M47=""),AND(ISNUMBER(M47),IF(MOD(M47,1)=0,INT(M47)+下拉列表!$H$2,M47)&lt;=$B$1),AND(ISNUMBER(N47),INT(IF(MOD(N47,1)=0,INT(N47)+下拉列表!$H$5,N47))=INT($B$1),IF(MOD(N47,1)=0,INT(N47)+下拉列表!$H$5,N47)&gt;$B$1),AND(ISNUMBER(N47),INT(IF(MOD(N47,1)=0,INT(N47)+下拉列表!$H$5,N47))=INT($B$1)+1),AND(COUNTIF(Q47,"*领导DDL*")&gt;0,ISNUMBER(N47),INT(IF(MOD(N47,1)=0,INT(N47)+下拉列表!$H$5,N47))&lt;=INT($B$1)+2)),"2 今日处理",IF(AND(F47="等待他人",ISNUMBER(M47),IF(MOD(M47,1)=0,INT(M47)+下拉列表!$H$2,M47)&gt;$B$1),"4 暂不关注","3 近期关注")))))</f>
        <v/>
      </c>
      <c r="C47" s="26"/>
      <c r="D47" s="26"/>
      <c r="E47" s="26"/>
      <c r="F47" s="26"/>
      <c r="G47" s="26"/>
      <c r="H47" s="26"/>
      <c r="I47" s="26"/>
      <c r="J47" s="26"/>
      <c r="K47" s="32"/>
      <c r="L47" s="32"/>
      <c r="M47" s="33"/>
      <c r="N47" s="33"/>
      <c r="O47" s="34" t="str">
        <f ca="1">IF(E47="","",IF(L47="","",MAX(0,INT($B$1)-INT(L47))))</f>
        <v/>
      </c>
      <c r="P47" s="26"/>
      <c r="Q47" s="26"/>
      <c r="R47" s="26"/>
    </row>
    <row r="48" spans="1:18">
      <c r="A48" s="26"/>
      <c r="B48" s="26" t="str">
        <f ca="1">IF(E48="","",IF(OR(F48="已完成",F48="已取消",F48="已移交"),"4 暂不关注",IF(OR(R48="强制立即",A48="▶",AND(ISNUMBER(N48),IF(MOD(N48,1)=0,INT(N48)+下拉列表!$H$5,N48)&lt;=$B$1),AND(F48&lt;&gt;"等待他人",OR(COUNTIF(Q48,"*止损*")&gt;0,COUNTIF(Q48,"*阻塞*")&gt;0))),"1 立即处理",IF(OR(R48="强制今日",AND(F48="等待他人",M48=""),AND(ISNUMBER(M48),IF(MOD(M48,1)=0,INT(M48)+下拉列表!$H$2,M48)&lt;=$B$1),AND(ISNUMBER(N48),INT(IF(MOD(N48,1)=0,INT(N48)+下拉列表!$H$5,N48))=INT($B$1),IF(MOD(N48,1)=0,INT(N48)+下拉列表!$H$5,N48)&gt;$B$1),AND(ISNUMBER(N48),INT(IF(MOD(N48,1)=0,INT(N48)+下拉列表!$H$5,N48))=INT($B$1)+1),AND(COUNTIF(Q48,"*领导DDL*")&gt;0,ISNUMBER(N48),INT(IF(MOD(N48,1)=0,INT(N48)+下拉列表!$H$5,N48))&lt;=INT($B$1)+2)),"2 今日处理",IF(AND(F48="等待他人",ISNUMBER(M48),IF(MOD(M48,1)=0,INT(M48)+下拉列表!$H$2,M48)&gt;$B$1),"4 暂不关注","3 近期关注")))))</f>
        <v/>
      </c>
      <c r="C48" s="26"/>
      <c r="D48" s="26"/>
      <c r="E48" s="26"/>
      <c r="F48" s="26"/>
      <c r="G48" s="26"/>
      <c r="H48" s="26"/>
      <c r="I48" s="26"/>
      <c r="J48" s="26"/>
      <c r="K48" s="32"/>
      <c r="L48" s="32"/>
      <c r="M48" s="33"/>
      <c r="N48" s="33"/>
      <c r="O48" s="34" t="str">
        <f ca="1">IF(E48="","",IF(L48="","",MAX(0,INT($B$1)-INT(L48))))</f>
        <v/>
      </c>
      <c r="P48" s="26"/>
      <c r="Q48" s="26"/>
      <c r="R48" s="26"/>
    </row>
    <row r="49" spans="1:18">
      <c r="A49" s="26"/>
      <c r="B49" s="26" t="str">
        <f ca="1">IF(E49="","",IF(OR(F49="已完成",F49="已取消",F49="已移交"),"4 暂不关注",IF(OR(R49="强制立即",A49="▶",AND(ISNUMBER(N49),IF(MOD(N49,1)=0,INT(N49)+下拉列表!$H$5,N49)&lt;=$B$1),AND(F49&lt;&gt;"等待他人",OR(COUNTIF(Q49,"*止损*")&gt;0,COUNTIF(Q49,"*阻塞*")&gt;0))),"1 立即处理",IF(OR(R49="强制今日",AND(F49="等待他人",M49=""),AND(ISNUMBER(M49),IF(MOD(M49,1)=0,INT(M49)+下拉列表!$H$2,M49)&lt;=$B$1),AND(ISNUMBER(N49),INT(IF(MOD(N49,1)=0,INT(N49)+下拉列表!$H$5,N49))=INT($B$1),IF(MOD(N49,1)=0,INT(N49)+下拉列表!$H$5,N49)&gt;$B$1),AND(ISNUMBER(N49),INT(IF(MOD(N49,1)=0,INT(N49)+下拉列表!$H$5,N49))=INT($B$1)+1),AND(COUNTIF(Q49,"*领导DDL*")&gt;0,ISNUMBER(N49),INT(IF(MOD(N49,1)=0,INT(N49)+下拉列表!$H$5,N49))&lt;=INT($B$1)+2)),"2 今日处理",IF(AND(F49="等待他人",ISNUMBER(M49),IF(MOD(M49,1)=0,INT(M49)+下拉列表!$H$2,M49)&gt;$B$1),"4 暂不关注","3 近期关注")))))</f>
        <v/>
      </c>
      <c r="C49" s="26"/>
      <c r="D49" s="26"/>
      <c r="E49" s="26"/>
      <c r="F49" s="26"/>
      <c r="G49" s="26"/>
      <c r="H49" s="26"/>
      <c r="I49" s="26"/>
      <c r="J49" s="26"/>
      <c r="K49" s="32"/>
      <c r="L49" s="32"/>
      <c r="M49" s="33"/>
      <c r="N49" s="33"/>
      <c r="O49" s="34" t="str">
        <f ca="1">IF(E49="","",IF(L49="","",MAX(0,INT($B$1)-INT(L49))))</f>
        <v/>
      </c>
      <c r="P49" s="26"/>
      <c r="Q49" s="26"/>
      <c r="R49" s="26"/>
    </row>
    <row r="50" spans="1:18">
      <c r="A50" s="26"/>
      <c r="B50" s="26" t="str">
        <f ca="1">IF(E50="","",IF(OR(F50="已完成",F50="已取消",F50="已移交"),"4 暂不关注",IF(OR(R50="强制立即",A50="▶",AND(ISNUMBER(N50),IF(MOD(N50,1)=0,INT(N50)+下拉列表!$H$5,N50)&lt;=$B$1),AND(F50&lt;&gt;"等待他人",OR(COUNTIF(Q50,"*止损*")&gt;0,COUNTIF(Q50,"*阻塞*")&gt;0))),"1 立即处理",IF(OR(R50="强制今日",AND(F50="等待他人",M50=""),AND(ISNUMBER(M50),IF(MOD(M50,1)=0,INT(M50)+下拉列表!$H$2,M50)&lt;=$B$1),AND(ISNUMBER(N50),INT(IF(MOD(N50,1)=0,INT(N50)+下拉列表!$H$5,N50))=INT($B$1),IF(MOD(N50,1)=0,INT(N50)+下拉列表!$H$5,N50)&gt;$B$1),AND(ISNUMBER(N50),INT(IF(MOD(N50,1)=0,INT(N50)+下拉列表!$H$5,N50))=INT($B$1)+1),AND(COUNTIF(Q50,"*领导DDL*")&gt;0,ISNUMBER(N50),INT(IF(MOD(N50,1)=0,INT(N50)+下拉列表!$H$5,N50))&lt;=INT($B$1)+2)),"2 今日处理",IF(AND(F50="等待他人",ISNUMBER(M50),IF(MOD(M50,1)=0,INT(M50)+下拉列表!$H$2,M50)&gt;$B$1),"4 暂不关注","3 近期关注")))))</f>
        <v/>
      </c>
      <c r="C50" s="26"/>
      <c r="D50" s="26"/>
      <c r="E50" s="26"/>
      <c r="F50" s="26"/>
      <c r="G50" s="26"/>
      <c r="H50" s="26"/>
      <c r="I50" s="26"/>
      <c r="J50" s="26"/>
      <c r="K50" s="32"/>
      <c r="L50" s="32"/>
      <c r="M50" s="33"/>
      <c r="N50" s="33"/>
      <c r="O50" s="34" t="str">
        <f ca="1">IF(E50="","",IF(L50="","",MAX(0,INT($B$1)-INT(L50))))</f>
        <v/>
      </c>
      <c r="P50" s="26"/>
      <c r="Q50" s="26"/>
      <c r="R50" s="26"/>
    </row>
    <row r="51" spans="1:18">
      <c r="A51" s="26"/>
      <c r="B51" s="26" t="str">
        <f ca="1">IF(E51="","",IF(OR(F51="已完成",F51="已取消",F51="已移交"),"4 暂不关注",IF(OR(R51="强制立即",A51="▶",AND(ISNUMBER(N51),IF(MOD(N51,1)=0,INT(N51)+下拉列表!$H$5,N51)&lt;=$B$1),AND(F51&lt;&gt;"等待他人",OR(COUNTIF(Q51,"*止损*")&gt;0,COUNTIF(Q51,"*阻塞*")&gt;0))),"1 立即处理",IF(OR(R51="强制今日",AND(F51="等待他人",M51=""),AND(ISNUMBER(M51),IF(MOD(M51,1)=0,INT(M51)+下拉列表!$H$2,M51)&lt;=$B$1),AND(ISNUMBER(N51),INT(IF(MOD(N51,1)=0,INT(N51)+下拉列表!$H$5,N51))=INT($B$1),IF(MOD(N51,1)=0,INT(N51)+下拉列表!$H$5,N51)&gt;$B$1),AND(ISNUMBER(N51),INT(IF(MOD(N51,1)=0,INT(N51)+下拉列表!$H$5,N51))=INT($B$1)+1),AND(COUNTIF(Q51,"*领导DDL*")&gt;0,ISNUMBER(N51),INT(IF(MOD(N51,1)=0,INT(N51)+下拉列表!$H$5,N51))&lt;=INT($B$1)+2)),"2 今日处理",IF(AND(F51="等待他人",ISNUMBER(M51),IF(MOD(M51,1)=0,INT(M51)+下拉列表!$H$2,M51)&gt;$B$1),"4 暂不关注","3 近期关注")))))</f>
        <v/>
      </c>
      <c r="C51" s="26"/>
      <c r="D51" s="26"/>
      <c r="E51" s="26"/>
      <c r="F51" s="26"/>
      <c r="G51" s="26"/>
      <c r="H51" s="26"/>
      <c r="I51" s="26"/>
      <c r="J51" s="26"/>
      <c r="K51" s="32"/>
      <c r="L51" s="32"/>
      <c r="M51" s="33"/>
      <c r="N51" s="33"/>
      <c r="O51" s="34" t="str">
        <f ca="1">IF(E51="","",IF(L51="","",MAX(0,INT($B$1)-INT(L51))))</f>
        <v/>
      </c>
      <c r="P51" s="26"/>
      <c r="Q51" s="26"/>
      <c r="R51" s="26"/>
    </row>
    <row r="52" spans="1:18">
      <c r="A52" s="26"/>
      <c r="B52" s="26" t="str">
        <f ca="1">IF(E52="","",IF(OR(F52="已完成",F52="已取消",F52="已移交"),"4 暂不关注",IF(OR(R52="强制立即",A52="▶",AND(ISNUMBER(N52),IF(MOD(N52,1)=0,INT(N52)+下拉列表!$H$5,N52)&lt;=$B$1),AND(F52&lt;&gt;"等待他人",OR(COUNTIF(Q52,"*止损*")&gt;0,COUNTIF(Q52,"*阻塞*")&gt;0))),"1 立即处理",IF(OR(R52="强制今日",AND(F52="等待他人",M52=""),AND(ISNUMBER(M52),IF(MOD(M52,1)=0,INT(M52)+下拉列表!$H$2,M52)&lt;=$B$1),AND(ISNUMBER(N52),INT(IF(MOD(N52,1)=0,INT(N52)+下拉列表!$H$5,N52))=INT($B$1),IF(MOD(N52,1)=0,INT(N52)+下拉列表!$H$5,N52)&gt;$B$1),AND(ISNUMBER(N52),INT(IF(MOD(N52,1)=0,INT(N52)+下拉列表!$H$5,N52))=INT($B$1)+1),AND(COUNTIF(Q52,"*领导DDL*")&gt;0,ISNUMBER(N52),INT(IF(MOD(N52,1)=0,INT(N52)+下拉列表!$H$5,N52))&lt;=INT($B$1)+2)),"2 今日处理",IF(AND(F52="等待他人",ISNUMBER(M52),IF(MOD(M52,1)=0,INT(M52)+下拉列表!$H$2,M52)&gt;$B$1),"4 暂不关注","3 近期关注")))))</f>
        <v/>
      </c>
      <c r="C52" s="26"/>
      <c r="D52" s="26"/>
      <c r="E52" s="26"/>
      <c r="F52" s="26"/>
      <c r="G52" s="26"/>
      <c r="H52" s="26"/>
      <c r="I52" s="26"/>
      <c r="J52" s="26"/>
      <c r="K52" s="32"/>
      <c r="L52" s="32"/>
      <c r="M52" s="33"/>
      <c r="N52" s="33"/>
      <c r="O52" s="34" t="str">
        <f ca="1">IF(E52="","",IF(L52="","",MAX(0,INT($B$1)-INT(L52))))</f>
        <v/>
      </c>
      <c r="P52" s="26"/>
      <c r="Q52" s="26"/>
      <c r="R52" s="26"/>
    </row>
    <row r="53" spans="1:18">
      <c r="A53" s="26"/>
      <c r="B53" s="26" t="str">
        <f ca="1">IF(E53="","",IF(OR(F53="已完成",F53="已取消",F53="已移交"),"4 暂不关注",IF(OR(R53="强制立即",A53="▶",AND(ISNUMBER(N53),IF(MOD(N53,1)=0,INT(N53)+下拉列表!$H$5,N53)&lt;=$B$1),AND(F53&lt;&gt;"等待他人",OR(COUNTIF(Q53,"*止损*")&gt;0,COUNTIF(Q53,"*阻塞*")&gt;0))),"1 立即处理",IF(OR(R53="强制今日",AND(F53="等待他人",M53=""),AND(ISNUMBER(M53),IF(MOD(M53,1)=0,INT(M53)+下拉列表!$H$2,M53)&lt;=$B$1),AND(ISNUMBER(N53),INT(IF(MOD(N53,1)=0,INT(N53)+下拉列表!$H$5,N53))=INT($B$1),IF(MOD(N53,1)=0,INT(N53)+下拉列表!$H$5,N53)&gt;$B$1),AND(ISNUMBER(N53),INT(IF(MOD(N53,1)=0,INT(N53)+下拉列表!$H$5,N53))=INT($B$1)+1),AND(COUNTIF(Q53,"*领导DDL*")&gt;0,ISNUMBER(N53),INT(IF(MOD(N53,1)=0,INT(N53)+下拉列表!$H$5,N53))&lt;=INT($B$1)+2)),"2 今日处理",IF(AND(F53="等待他人",ISNUMBER(M53),IF(MOD(M53,1)=0,INT(M53)+下拉列表!$H$2,M53)&gt;$B$1),"4 暂不关注","3 近期关注")))))</f>
        <v/>
      </c>
      <c r="C53" s="26"/>
      <c r="D53" s="26"/>
      <c r="E53" s="26"/>
      <c r="F53" s="26"/>
      <c r="G53" s="26"/>
      <c r="H53" s="26"/>
      <c r="I53" s="26"/>
      <c r="J53" s="26"/>
      <c r="K53" s="32"/>
      <c r="L53" s="32"/>
      <c r="M53" s="33"/>
      <c r="N53" s="33"/>
      <c r="O53" s="34" t="str">
        <f ca="1">IF(E53="","",IF(L53="","",MAX(0,INT($B$1)-INT(L53))))</f>
        <v/>
      </c>
      <c r="P53" s="26"/>
      <c r="Q53" s="26"/>
      <c r="R53" s="26"/>
    </row>
    <row r="54" spans="1:18">
      <c r="A54" s="26"/>
      <c r="B54" s="26" t="str">
        <f ca="1">IF(E54="","",IF(OR(F54="已完成",F54="已取消",F54="已移交"),"4 暂不关注",IF(OR(R54="强制立即",A54="▶",AND(ISNUMBER(N54),IF(MOD(N54,1)=0,INT(N54)+下拉列表!$H$5,N54)&lt;=$B$1),AND(F54&lt;&gt;"等待他人",OR(COUNTIF(Q54,"*止损*")&gt;0,COUNTIF(Q54,"*阻塞*")&gt;0))),"1 立即处理",IF(OR(R54="强制今日",AND(F54="等待他人",M54=""),AND(ISNUMBER(M54),IF(MOD(M54,1)=0,INT(M54)+下拉列表!$H$2,M54)&lt;=$B$1),AND(ISNUMBER(N54),INT(IF(MOD(N54,1)=0,INT(N54)+下拉列表!$H$5,N54))=INT($B$1),IF(MOD(N54,1)=0,INT(N54)+下拉列表!$H$5,N54)&gt;$B$1),AND(ISNUMBER(N54),INT(IF(MOD(N54,1)=0,INT(N54)+下拉列表!$H$5,N54))=INT($B$1)+1),AND(COUNTIF(Q54,"*领导DDL*")&gt;0,ISNUMBER(N54),INT(IF(MOD(N54,1)=0,INT(N54)+下拉列表!$H$5,N54))&lt;=INT($B$1)+2)),"2 今日处理",IF(AND(F54="等待他人",ISNUMBER(M54),IF(MOD(M54,1)=0,INT(M54)+下拉列表!$H$2,M54)&gt;$B$1),"4 暂不关注","3 近期关注")))))</f>
        <v/>
      </c>
      <c r="C54" s="26"/>
      <c r="D54" s="26"/>
      <c r="E54" s="26"/>
      <c r="F54" s="26"/>
      <c r="G54" s="26"/>
      <c r="H54" s="26"/>
      <c r="I54" s="26"/>
      <c r="J54" s="26"/>
      <c r="K54" s="32"/>
      <c r="L54" s="32"/>
      <c r="M54" s="33"/>
      <c r="N54" s="33"/>
      <c r="O54" s="34" t="str">
        <f ca="1">IF(E54="","",IF(L54="","",MAX(0,INT($B$1)-INT(L54))))</f>
        <v/>
      </c>
      <c r="P54" s="26"/>
      <c r="Q54" s="26"/>
      <c r="R54" s="26"/>
    </row>
    <row r="55" spans="1:18">
      <c r="A55" s="26"/>
      <c r="B55" s="26" t="str">
        <f ca="1">IF(E55="","",IF(OR(F55="已完成",F55="已取消",F55="已移交"),"4 暂不关注",IF(OR(R55="强制立即",A55="▶",AND(ISNUMBER(N55),IF(MOD(N55,1)=0,INT(N55)+下拉列表!$H$5,N55)&lt;=$B$1),AND(F55&lt;&gt;"等待他人",OR(COUNTIF(Q55,"*止损*")&gt;0,COUNTIF(Q55,"*阻塞*")&gt;0))),"1 立即处理",IF(OR(R55="强制今日",AND(F55="等待他人",M55=""),AND(ISNUMBER(M55),IF(MOD(M55,1)=0,INT(M55)+下拉列表!$H$2,M55)&lt;=$B$1),AND(ISNUMBER(N55),INT(IF(MOD(N55,1)=0,INT(N55)+下拉列表!$H$5,N55))=INT($B$1),IF(MOD(N55,1)=0,INT(N55)+下拉列表!$H$5,N55)&gt;$B$1),AND(ISNUMBER(N55),INT(IF(MOD(N55,1)=0,INT(N55)+下拉列表!$H$5,N55))=INT($B$1)+1),AND(COUNTIF(Q55,"*领导DDL*")&gt;0,ISNUMBER(N55),INT(IF(MOD(N55,1)=0,INT(N55)+下拉列表!$H$5,N55))&lt;=INT($B$1)+2)),"2 今日处理",IF(AND(F55="等待他人",ISNUMBER(M55),IF(MOD(M55,1)=0,INT(M55)+下拉列表!$H$2,M55)&gt;$B$1),"4 暂不关注","3 近期关注")))))</f>
        <v/>
      </c>
      <c r="C55" s="26"/>
      <c r="D55" s="26"/>
      <c r="E55" s="26"/>
      <c r="F55" s="26"/>
      <c r="G55" s="26"/>
      <c r="H55" s="26"/>
      <c r="I55" s="26"/>
      <c r="J55" s="26"/>
      <c r="K55" s="32"/>
      <c r="L55" s="32"/>
      <c r="M55" s="33"/>
      <c r="N55" s="33"/>
      <c r="O55" s="34" t="str">
        <f ca="1">IF(E55="","",IF(L55="","",MAX(0,INT($B$1)-INT(L55))))</f>
        <v/>
      </c>
      <c r="P55" s="26"/>
      <c r="Q55" s="26"/>
      <c r="R55" s="26"/>
    </row>
    <row r="56" spans="1:18">
      <c r="A56" s="26"/>
      <c r="B56" s="26" t="str">
        <f ca="1">IF(E56="","",IF(OR(F56="已完成",F56="已取消",F56="已移交"),"4 暂不关注",IF(OR(R56="强制立即",A56="▶",AND(ISNUMBER(N56),IF(MOD(N56,1)=0,INT(N56)+下拉列表!$H$5,N56)&lt;=$B$1),AND(F56&lt;&gt;"等待他人",OR(COUNTIF(Q56,"*止损*")&gt;0,COUNTIF(Q56,"*阻塞*")&gt;0))),"1 立即处理",IF(OR(R56="强制今日",AND(F56="等待他人",M56=""),AND(ISNUMBER(M56),IF(MOD(M56,1)=0,INT(M56)+下拉列表!$H$2,M56)&lt;=$B$1),AND(ISNUMBER(N56),INT(IF(MOD(N56,1)=0,INT(N56)+下拉列表!$H$5,N56))=INT($B$1),IF(MOD(N56,1)=0,INT(N56)+下拉列表!$H$5,N56)&gt;$B$1),AND(ISNUMBER(N56),INT(IF(MOD(N56,1)=0,INT(N56)+下拉列表!$H$5,N56))=INT($B$1)+1),AND(COUNTIF(Q56,"*领导DDL*")&gt;0,ISNUMBER(N56),INT(IF(MOD(N56,1)=0,INT(N56)+下拉列表!$H$5,N56))&lt;=INT($B$1)+2)),"2 今日处理",IF(AND(F56="等待他人",ISNUMBER(M56),IF(MOD(M56,1)=0,INT(M56)+下拉列表!$H$2,M56)&gt;$B$1),"4 暂不关注","3 近期关注")))))</f>
        <v/>
      </c>
      <c r="C56" s="26"/>
      <c r="D56" s="26"/>
      <c r="E56" s="26"/>
      <c r="F56" s="26"/>
      <c r="G56" s="26"/>
      <c r="H56" s="26"/>
      <c r="I56" s="26"/>
      <c r="J56" s="26"/>
      <c r="K56" s="32"/>
      <c r="L56" s="32"/>
      <c r="M56" s="33"/>
      <c r="N56" s="33"/>
      <c r="O56" s="34" t="str">
        <f ca="1">IF(E56="","",IF(L56="","",MAX(0,INT($B$1)-INT(L56))))</f>
        <v/>
      </c>
      <c r="P56" s="26"/>
      <c r="Q56" s="26"/>
      <c r="R56" s="26"/>
    </row>
    <row r="57" spans="1:18">
      <c r="A57" s="26"/>
      <c r="B57" s="26" t="str">
        <f ca="1">IF(E57="","",IF(OR(F57="已完成",F57="已取消",F57="已移交"),"4 暂不关注",IF(OR(R57="强制立即",A57="▶",AND(ISNUMBER(N57),IF(MOD(N57,1)=0,INT(N57)+下拉列表!$H$5,N57)&lt;=$B$1),AND(F57&lt;&gt;"等待他人",OR(COUNTIF(Q57,"*止损*")&gt;0,COUNTIF(Q57,"*阻塞*")&gt;0))),"1 立即处理",IF(OR(R57="强制今日",AND(F57="等待他人",M57=""),AND(ISNUMBER(M57),IF(MOD(M57,1)=0,INT(M57)+下拉列表!$H$2,M57)&lt;=$B$1),AND(ISNUMBER(N57),INT(IF(MOD(N57,1)=0,INT(N57)+下拉列表!$H$5,N57))=INT($B$1),IF(MOD(N57,1)=0,INT(N57)+下拉列表!$H$5,N57)&gt;$B$1),AND(ISNUMBER(N57),INT(IF(MOD(N57,1)=0,INT(N57)+下拉列表!$H$5,N57))=INT($B$1)+1),AND(COUNTIF(Q57,"*领导DDL*")&gt;0,ISNUMBER(N57),INT(IF(MOD(N57,1)=0,INT(N57)+下拉列表!$H$5,N57))&lt;=INT($B$1)+2)),"2 今日处理",IF(AND(F57="等待他人",ISNUMBER(M57),IF(MOD(M57,1)=0,INT(M57)+下拉列表!$H$2,M57)&gt;$B$1),"4 暂不关注","3 近期关注")))))</f>
        <v/>
      </c>
      <c r="C57" s="26"/>
      <c r="D57" s="26"/>
      <c r="E57" s="26"/>
      <c r="F57" s="26"/>
      <c r="G57" s="26"/>
      <c r="H57" s="26"/>
      <c r="I57" s="26"/>
      <c r="J57" s="26"/>
      <c r="K57" s="32"/>
      <c r="L57" s="32"/>
      <c r="M57" s="33"/>
      <c r="N57" s="33"/>
      <c r="O57" s="34" t="str">
        <f ca="1">IF(E57="","",IF(L57="","",MAX(0,INT($B$1)-INT(L57))))</f>
        <v/>
      </c>
      <c r="P57" s="26"/>
      <c r="Q57" s="26"/>
      <c r="R57" s="26"/>
    </row>
    <row r="58" spans="1:18">
      <c r="A58" s="26"/>
      <c r="B58" s="26" t="str">
        <f ca="1">IF(E58="","",IF(OR(F58="已完成",F58="已取消",F58="已移交"),"4 暂不关注",IF(OR(R58="强制立即",A58="▶",AND(ISNUMBER(N58),IF(MOD(N58,1)=0,INT(N58)+下拉列表!$H$5,N58)&lt;=$B$1),AND(F58&lt;&gt;"等待他人",OR(COUNTIF(Q58,"*止损*")&gt;0,COUNTIF(Q58,"*阻塞*")&gt;0))),"1 立即处理",IF(OR(R58="强制今日",AND(F58="等待他人",M58=""),AND(ISNUMBER(M58),IF(MOD(M58,1)=0,INT(M58)+下拉列表!$H$2,M58)&lt;=$B$1),AND(ISNUMBER(N58),INT(IF(MOD(N58,1)=0,INT(N58)+下拉列表!$H$5,N58))=INT($B$1),IF(MOD(N58,1)=0,INT(N58)+下拉列表!$H$5,N58)&gt;$B$1),AND(ISNUMBER(N58),INT(IF(MOD(N58,1)=0,INT(N58)+下拉列表!$H$5,N58))=INT($B$1)+1),AND(COUNTIF(Q58,"*领导DDL*")&gt;0,ISNUMBER(N58),INT(IF(MOD(N58,1)=0,INT(N58)+下拉列表!$H$5,N58))&lt;=INT($B$1)+2)),"2 今日处理",IF(AND(F58="等待他人",ISNUMBER(M58),IF(MOD(M58,1)=0,INT(M58)+下拉列表!$H$2,M58)&gt;$B$1),"4 暂不关注","3 近期关注")))))</f>
        <v/>
      </c>
      <c r="C58" s="26"/>
      <c r="D58" s="26"/>
      <c r="E58" s="26"/>
      <c r="F58" s="26"/>
      <c r="G58" s="26"/>
      <c r="H58" s="26"/>
      <c r="I58" s="26"/>
      <c r="J58" s="26"/>
      <c r="K58" s="32"/>
      <c r="L58" s="32"/>
      <c r="M58" s="33"/>
      <c r="N58" s="33"/>
      <c r="O58" s="34" t="str">
        <f ca="1">IF(E58="","",IF(L58="","",MAX(0,INT($B$1)-INT(L58))))</f>
        <v/>
      </c>
      <c r="P58" s="26"/>
      <c r="Q58" s="26"/>
      <c r="R58" s="26"/>
    </row>
    <row r="59" spans="1:18">
      <c r="A59" s="26"/>
      <c r="B59" s="26" t="str">
        <f ca="1">IF(E59="","",IF(OR(F59="已完成",F59="已取消",F59="已移交"),"4 暂不关注",IF(OR(R59="强制立即",A59="▶",AND(ISNUMBER(N59),IF(MOD(N59,1)=0,INT(N59)+下拉列表!$H$5,N59)&lt;=$B$1),AND(F59&lt;&gt;"等待他人",OR(COUNTIF(Q59,"*止损*")&gt;0,COUNTIF(Q59,"*阻塞*")&gt;0))),"1 立即处理",IF(OR(R59="强制今日",AND(F59="等待他人",M59=""),AND(ISNUMBER(M59),IF(MOD(M59,1)=0,INT(M59)+下拉列表!$H$2,M59)&lt;=$B$1),AND(ISNUMBER(N59),INT(IF(MOD(N59,1)=0,INT(N59)+下拉列表!$H$5,N59))=INT($B$1),IF(MOD(N59,1)=0,INT(N59)+下拉列表!$H$5,N59)&gt;$B$1),AND(ISNUMBER(N59),INT(IF(MOD(N59,1)=0,INT(N59)+下拉列表!$H$5,N59))=INT($B$1)+1),AND(COUNTIF(Q59,"*领导DDL*")&gt;0,ISNUMBER(N59),INT(IF(MOD(N59,1)=0,INT(N59)+下拉列表!$H$5,N59))&lt;=INT($B$1)+2)),"2 今日处理",IF(AND(F59="等待他人",ISNUMBER(M59),IF(MOD(M59,1)=0,INT(M59)+下拉列表!$H$2,M59)&gt;$B$1),"4 暂不关注","3 近期关注")))))</f>
        <v/>
      </c>
      <c r="C59" s="26"/>
      <c r="D59" s="26"/>
      <c r="E59" s="26"/>
      <c r="F59" s="26"/>
      <c r="G59" s="26"/>
      <c r="H59" s="26"/>
      <c r="I59" s="26"/>
      <c r="J59" s="26"/>
      <c r="K59" s="32"/>
      <c r="L59" s="32"/>
      <c r="M59" s="33"/>
      <c r="N59" s="33"/>
      <c r="O59" s="34" t="str">
        <f ca="1">IF(E59="","",IF(L59="","",MAX(0,INT($B$1)-INT(L59))))</f>
        <v/>
      </c>
      <c r="P59" s="26"/>
      <c r="Q59" s="26"/>
      <c r="R59" s="26"/>
    </row>
    <row r="60" spans="1:18">
      <c r="A60" s="26"/>
      <c r="B60" s="26" t="str">
        <f ca="1">IF(E60="","",IF(OR(F60="已完成",F60="已取消",F60="已移交"),"4 暂不关注",IF(OR(R60="强制立即",A60="▶",AND(ISNUMBER(N60),IF(MOD(N60,1)=0,INT(N60)+下拉列表!$H$5,N60)&lt;=$B$1),AND(F60&lt;&gt;"等待他人",OR(COUNTIF(Q60,"*止损*")&gt;0,COUNTIF(Q60,"*阻塞*")&gt;0))),"1 立即处理",IF(OR(R60="强制今日",AND(F60="等待他人",M60=""),AND(ISNUMBER(M60),IF(MOD(M60,1)=0,INT(M60)+下拉列表!$H$2,M60)&lt;=$B$1),AND(ISNUMBER(N60),INT(IF(MOD(N60,1)=0,INT(N60)+下拉列表!$H$5,N60))=INT($B$1),IF(MOD(N60,1)=0,INT(N60)+下拉列表!$H$5,N60)&gt;$B$1),AND(ISNUMBER(N60),INT(IF(MOD(N60,1)=0,INT(N60)+下拉列表!$H$5,N60))=INT($B$1)+1),AND(COUNTIF(Q60,"*领导DDL*")&gt;0,ISNUMBER(N60),INT(IF(MOD(N60,1)=0,INT(N60)+下拉列表!$H$5,N60))&lt;=INT($B$1)+2)),"2 今日处理",IF(AND(F60="等待他人",ISNUMBER(M60),IF(MOD(M60,1)=0,INT(M60)+下拉列表!$H$2,M60)&gt;$B$1),"4 暂不关注","3 近期关注")))))</f>
        <v/>
      </c>
      <c r="C60" s="26"/>
      <c r="D60" s="26"/>
      <c r="E60" s="26"/>
      <c r="F60" s="26"/>
      <c r="G60" s="26"/>
      <c r="H60" s="26"/>
      <c r="I60" s="26"/>
      <c r="J60" s="26"/>
      <c r="K60" s="32"/>
      <c r="L60" s="32"/>
      <c r="M60" s="33"/>
      <c r="N60" s="33"/>
      <c r="O60" s="34" t="str">
        <f ca="1">IF(E60="","",IF(L60="","",MAX(0,INT($B$1)-INT(L60))))</f>
        <v/>
      </c>
      <c r="P60" s="26"/>
      <c r="Q60" s="26"/>
      <c r="R60" s="26"/>
    </row>
    <row r="61" spans="1:18">
      <c r="A61" s="26"/>
      <c r="B61" s="26" t="str">
        <f ca="1">IF(E61="","",IF(OR(F61="已完成",F61="已取消",F61="已移交"),"4 暂不关注",IF(OR(R61="强制立即",A61="▶",AND(ISNUMBER(N61),IF(MOD(N61,1)=0,INT(N61)+下拉列表!$H$5,N61)&lt;=$B$1),AND(F61&lt;&gt;"等待他人",OR(COUNTIF(Q61,"*止损*")&gt;0,COUNTIF(Q61,"*阻塞*")&gt;0))),"1 立即处理",IF(OR(R61="强制今日",AND(F61="等待他人",M61=""),AND(ISNUMBER(M61),IF(MOD(M61,1)=0,INT(M61)+下拉列表!$H$2,M61)&lt;=$B$1),AND(ISNUMBER(N61),INT(IF(MOD(N61,1)=0,INT(N61)+下拉列表!$H$5,N61))=INT($B$1),IF(MOD(N61,1)=0,INT(N61)+下拉列表!$H$5,N61)&gt;$B$1),AND(ISNUMBER(N61),INT(IF(MOD(N61,1)=0,INT(N61)+下拉列表!$H$5,N61))=INT($B$1)+1),AND(COUNTIF(Q61,"*领导DDL*")&gt;0,ISNUMBER(N61),INT(IF(MOD(N61,1)=0,INT(N61)+下拉列表!$H$5,N61))&lt;=INT($B$1)+2)),"2 今日处理",IF(AND(F61="等待他人",ISNUMBER(M61),IF(MOD(M61,1)=0,INT(M61)+下拉列表!$H$2,M61)&gt;$B$1),"4 暂不关注","3 近期关注")))))</f>
        <v/>
      </c>
      <c r="C61" s="26"/>
      <c r="D61" s="26"/>
      <c r="E61" s="26"/>
      <c r="F61" s="26"/>
      <c r="G61" s="26"/>
      <c r="H61" s="26"/>
      <c r="I61" s="26"/>
      <c r="J61" s="26"/>
      <c r="K61" s="32"/>
      <c r="L61" s="32"/>
      <c r="M61" s="33"/>
      <c r="N61" s="33"/>
      <c r="O61" s="34" t="str">
        <f ca="1">IF(E61="","",IF(L61="","",MAX(0,INT($B$1)-INT(L61))))</f>
        <v/>
      </c>
      <c r="P61" s="26"/>
      <c r="Q61" s="26"/>
      <c r="R61" s="26"/>
    </row>
    <row r="62" spans="1:18">
      <c r="A62" s="26"/>
      <c r="B62" s="26" t="str">
        <f ca="1">IF(E62="","",IF(OR(F62="已完成",F62="已取消",F62="已移交"),"4 暂不关注",IF(OR(R62="强制立即",A62="▶",AND(ISNUMBER(N62),IF(MOD(N62,1)=0,INT(N62)+下拉列表!$H$5,N62)&lt;=$B$1),AND(F62&lt;&gt;"等待他人",OR(COUNTIF(Q62,"*止损*")&gt;0,COUNTIF(Q62,"*阻塞*")&gt;0))),"1 立即处理",IF(OR(R62="强制今日",AND(F62="等待他人",M62=""),AND(ISNUMBER(M62),IF(MOD(M62,1)=0,INT(M62)+下拉列表!$H$2,M62)&lt;=$B$1),AND(ISNUMBER(N62),INT(IF(MOD(N62,1)=0,INT(N62)+下拉列表!$H$5,N62))=INT($B$1),IF(MOD(N62,1)=0,INT(N62)+下拉列表!$H$5,N62)&gt;$B$1),AND(ISNUMBER(N62),INT(IF(MOD(N62,1)=0,INT(N62)+下拉列表!$H$5,N62))=INT($B$1)+1),AND(COUNTIF(Q62,"*领导DDL*")&gt;0,ISNUMBER(N62),INT(IF(MOD(N62,1)=0,INT(N62)+下拉列表!$H$5,N62))&lt;=INT($B$1)+2)),"2 今日处理",IF(AND(F62="等待他人",ISNUMBER(M62),IF(MOD(M62,1)=0,INT(M62)+下拉列表!$H$2,M62)&gt;$B$1),"4 暂不关注","3 近期关注")))))</f>
        <v/>
      </c>
      <c r="C62" s="26"/>
      <c r="D62" s="26"/>
      <c r="E62" s="26"/>
      <c r="F62" s="26"/>
      <c r="G62" s="26"/>
      <c r="H62" s="26"/>
      <c r="I62" s="26"/>
      <c r="J62" s="26"/>
      <c r="K62" s="32"/>
      <c r="L62" s="32"/>
      <c r="M62" s="33"/>
      <c r="N62" s="33"/>
      <c r="O62" s="34" t="str">
        <f ca="1">IF(E62="","",IF(L62="","",MAX(0,INT($B$1)-INT(L62))))</f>
        <v/>
      </c>
      <c r="P62" s="26"/>
      <c r="Q62" s="26"/>
      <c r="R62" s="26"/>
    </row>
    <row r="63" spans="1:18">
      <c r="A63" s="26"/>
      <c r="B63" s="26" t="str">
        <f ca="1">IF(E63="","",IF(OR(F63="已完成",F63="已取消",F63="已移交"),"4 暂不关注",IF(OR(R63="强制立即",A63="▶",AND(ISNUMBER(N63),IF(MOD(N63,1)=0,INT(N63)+下拉列表!$H$5,N63)&lt;=$B$1),AND(F63&lt;&gt;"等待他人",OR(COUNTIF(Q63,"*止损*")&gt;0,COUNTIF(Q63,"*阻塞*")&gt;0))),"1 立即处理",IF(OR(R63="强制今日",AND(F63="等待他人",M63=""),AND(ISNUMBER(M63),IF(MOD(M63,1)=0,INT(M63)+下拉列表!$H$2,M63)&lt;=$B$1),AND(ISNUMBER(N63),INT(IF(MOD(N63,1)=0,INT(N63)+下拉列表!$H$5,N63))=INT($B$1),IF(MOD(N63,1)=0,INT(N63)+下拉列表!$H$5,N63)&gt;$B$1),AND(ISNUMBER(N63),INT(IF(MOD(N63,1)=0,INT(N63)+下拉列表!$H$5,N63))=INT($B$1)+1),AND(COUNTIF(Q63,"*领导DDL*")&gt;0,ISNUMBER(N63),INT(IF(MOD(N63,1)=0,INT(N63)+下拉列表!$H$5,N63))&lt;=INT($B$1)+2)),"2 今日处理",IF(AND(F63="等待他人",ISNUMBER(M63),IF(MOD(M63,1)=0,INT(M63)+下拉列表!$H$2,M63)&gt;$B$1),"4 暂不关注","3 近期关注")))))</f>
        <v/>
      </c>
      <c r="C63" s="26"/>
      <c r="D63" s="26"/>
      <c r="E63" s="26"/>
      <c r="F63" s="26"/>
      <c r="G63" s="26"/>
      <c r="H63" s="26"/>
      <c r="I63" s="26"/>
      <c r="J63" s="26"/>
      <c r="K63" s="32"/>
      <c r="L63" s="32"/>
      <c r="M63" s="33"/>
      <c r="N63" s="33"/>
      <c r="O63" s="34" t="str">
        <f ca="1">IF(E63="","",IF(L63="","",MAX(0,INT($B$1)-INT(L63))))</f>
        <v/>
      </c>
      <c r="P63" s="26"/>
      <c r="Q63" s="26"/>
      <c r="R63" s="26"/>
    </row>
    <row r="64" spans="1:18">
      <c r="A64" s="26"/>
      <c r="B64" s="26" t="str">
        <f ca="1">IF(E64="","",IF(OR(F64="已完成",F64="已取消",F64="已移交"),"4 暂不关注",IF(OR(R64="强制立即",A64="▶",AND(ISNUMBER(N64),IF(MOD(N64,1)=0,INT(N64)+下拉列表!$H$5,N64)&lt;=$B$1),AND(F64&lt;&gt;"等待他人",OR(COUNTIF(Q64,"*止损*")&gt;0,COUNTIF(Q64,"*阻塞*")&gt;0))),"1 立即处理",IF(OR(R64="强制今日",AND(F64="等待他人",M64=""),AND(ISNUMBER(M64),IF(MOD(M64,1)=0,INT(M64)+下拉列表!$H$2,M64)&lt;=$B$1),AND(ISNUMBER(N64),INT(IF(MOD(N64,1)=0,INT(N64)+下拉列表!$H$5,N64))=INT($B$1),IF(MOD(N64,1)=0,INT(N64)+下拉列表!$H$5,N64)&gt;$B$1),AND(ISNUMBER(N64),INT(IF(MOD(N64,1)=0,INT(N64)+下拉列表!$H$5,N64))=INT($B$1)+1),AND(COUNTIF(Q64,"*领导DDL*")&gt;0,ISNUMBER(N64),INT(IF(MOD(N64,1)=0,INT(N64)+下拉列表!$H$5,N64))&lt;=INT($B$1)+2)),"2 今日处理",IF(AND(F64="等待他人",ISNUMBER(M64),IF(MOD(M64,1)=0,INT(M64)+下拉列表!$H$2,M64)&gt;$B$1),"4 暂不关注","3 近期关注")))))</f>
        <v/>
      </c>
      <c r="C64" s="26"/>
      <c r="D64" s="26"/>
      <c r="E64" s="26"/>
      <c r="F64" s="26"/>
      <c r="G64" s="26"/>
      <c r="H64" s="26"/>
      <c r="I64" s="26"/>
      <c r="J64" s="26"/>
      <c r="K64" s="32"/>
      <c r="L64" s="32"/>
      <c r="M64" s="33"/>
      <c r="N64" s="33"/>
      <c r="O64" s="34" t="str">
        <f ca="1">IF(E64="","",IF(L64="","",MAX(0,INT($B$1)-INT(L64))))</f>
        <v/>
      </c>
      <c r="P64" s="26"/>
      <c r="Q64" s="26"/>
      <c r="R64" s="26"/>
    </row>
    <row r="65" spans="1:18">
      <c r="A65" s="26"/>
      <c r="B65" s="26" t="str">
        <f ca="1">IF(E65="","",IF(OR(F65="已完成",F65="已取消",F65="已移交"),"4 暂不关注",IF(OR(R65="强制立即",A65="▶",AND(ISNUMBER(N65),IF(MOD(N65,1)=0,INT(N65)+下拉列表!$H$5,N65)&lt;=$B$1),AND(F65&lt;&gt;"等待他人",OR(COUNTIF(Q65,"*止损*")&gt;0,COUNTIF(Q65,"*阻塞*")&gt;0))),"1 立即处理",IF(OR(R65="强制今日",AND(F65="等待他人",M65=""),AND(ISNUMBER(M65),IF(MOD(M65,1)=0,INT(M65)+下拉列表!$H$2,M65)&lt;=$B$1),AND(ISNUMBER(N65),INT(IF(MOD(N65,1)=0,INT(N65)+下拉列表!$H$5,N65))=INT($B$1),IF(MOD(N65,1)=0,INT(N65)+下拉列表!$H$5,N65)&gt;$B$1),AND(ISNUMBER(N65),INT(IF(MOD(N65,1)=0,INT(N65)+下拉列表!$H$5,N65))=INT($B$1)+1),AND(COUNTIF(Q65,"*领导DDL*")&gt;0,ISNUMBER(N65),INT(IF(MOD(N65,1)=0,INT(N65)+下拉列表!$H$5,N65))&lt;=INT($B$1)+2)),"2 今日处理",IF(AND(F65="等待他人",ISNUMBER(M65),IF(MOD(M65,1)=0,INT(M65)+下拉列表!$H$2,M65)&gt;$B$1),"4 暂不关注","3 近期关注")))))</f>
        <v/>
      </c>
      <c r="C65" s="26"/>
      <c r="D65" s="26"/>
      <c r="E65" s="26"/>
      <c r="F65" s="26"/>
      <c r="G65" s="26"/>
      <c r="H65" s="26"/>
      <c r="I65" s="26"/>
      <c r="J65" s="26"/>
      <c r="K65" s="32"/>
      <c r="L65" s="32"/>
      <c r="M65" s="33"/>
      <c r="N65" s="33"/>
      <c r="O65" s="34" t="str">
        <f ca="1">IF(E65="","",IF(L65="","",MAX(0,INT($B$1)-INT(L65))))</f>
        <v/>
      </c>
      <c r="P65" s="26"/>
      <c r="Q65" s="26"/>
      <c r="R65" s="26"/>
    </row>
    <row r="66" spans="1:18">
      <c r="A66" s="26"/>
      <c r="B66" s="26" t="str">
        <f ca="1">IF(E66="","",IF(OR(F66="已完成",F66="已取消",F66="已移交"),"4 暂不关注",IF(OR(R66="强制立即",A66="▶",AND(ISNUMBER(N66),IF(MOD(N66,1)=0,INT(N66)+下拉列表!$H$5,N66)&lt;=$B$1),AND(F66&lt;&gt;"等待他人",OR(COUNTIF(Q66,"*止损*")&gt;0,COUNTIF(Q66,"*阻塞*")&gt;0))),"1 立即处理",IF(OR(R66="强制今日",AND(F66="等待他人",M66=""),AND(ISNUMBER(M66),IF(MOD(M66,1)=0,INT(M66)+下拉列表!$H$2,M66)&lt;=$B$1),AND(ISNUMBER(N66),INT(IF(MOD(N66,1)=0,INT(N66)+下拉列表!$H$5,N66))=INT($B$1),IF(MOD(N66,1)=0,INT(N66)+下拉列表!$H$5,N66)&gt;$B$1),AND(ISNUMBER(N66),INT(IF(MOD(N66,1)=0,INT(N66)+下拉列表!$H$5,N66))=INT($B$1)+1),AND(COUNTIF(Q66,"*领导DDL*")&gt;0,ISNUMBER(N66),INT(IF(MOD(N66,1)=0,INT(N66)+下拉列表!$H$5,N66))&lt;=INT($B$1)+2)),"2 今日处理",IF(AND(F66="等待他人",ISNUMBER(M66),IF(MOD(M66,1)=0,INT(M66)+下拉列表!$H$2,M66)&gt;$B$1),"4 暂不关注","3 近期关注")))))</f>
        <v/>
      </c>
      <c r="C66" s="26"/>
      <c r="D66" s="26"/>
      <c r="E66" s="26"/>
      <c r="F66" s="26"/>
      <c r="G66" s="26"/>
      <c r="H66" s="26"/>
      <c r="I66" s="26"/>
      <c r="J66" s="26"/>
      <c r="K66" s="32"/>
      <c r="L66" s="32"/>
      <c r="M66" s="33"/>
      <c r="N66" s="33"/>
      <c r="O66" s="34" t="str">
        <f ca="1">IF(E66="","",IF(L66="","",MAX(0,INT($B$1)-INT(L66))))</f>
        <v/>
      </c>
      <c r="P66" s="26"/>
      <c r="Q66" s="26"/>
      <c r="R66" s="26"/>
    </row>
    <row r="67" spans="1:18">
      <c r="A67" s="26"/>
      <c r="B67" s="26" t="str">
        <f ca="1">IF(E67="","",IF(OR(F67="已完成",F67="已取消",F67="已移交"),"4 暂不关注",IF(OR(R67="强制立即",A67="▶",AND(ISNUMBER(N67),IF(MOD(N67,1)=0,INT(N67)+下拉列表!$H$5,N67)&lt;=$B$1),AND(F67&lt;&gt;"等待他人",OR(COUNTIF(Q67,"*止损*")&gt;0,COUNTIF(Q67,"*阻塞*")&gt;0))),"1 立即处理",IF(OR(R67="强制今日",AND(F67="等待他人",M67=""),AND(ISNUMBER(M67),IF(MOD(M67,1)=0,INT(M67)+下拉列表!$H$2,M67)&lt;=$B$1),AND(ISNUMBER(N67),INT(IF(MOD(N67,1)=0,INT(N67)+下拉列表!$H$5,N67))=INT($B$1),IF(MOD(N67,1)=0,INT(N67)+下拉列表!$H$5,N67)&gt;$B$1),AND(ISNUMBER(N67),INT(IF(MOD(N67,1)=0,INT(N67)+下拉列表!$H$5,N67))=INT($B$1)+1),AND(COUNTIF(Q67,"*领导DDL*")&gt;0,ISNUMBER(N67),INT(IF(MOD(N67,1)=0,INT(N67)+下拉列表!$H$5,N67))&lt;=INT($B$1)+2)),"2 今日处理",IF(AND(F67="等待他人",ISNUMBER(M67),IF(MOD(M67,1)=0,INT(M67)+下拉列表!$H$2,M67)&gt;$B$1),"4 暂不关注","3 近期关注")))))</f>
        <v/>
      </c>
      <c r="C67" s="26"/>
      <c r="D67" s="26"/>
      <c r="E67" s="26"/>
      <c r="F67" s="26"/>
      <c r="G67" s="26"/>
      <c r="H67" s="26"/>
      <c r="I67" s="26"/>
      <c r="J67" s="26"/>
      <c r="K67" s="32"/>
      <c r="L67" s="32"/>
      <c r="M67" s="33"/>
      <c r="N67" s="33"/>
      <c r="O67" s="34" t="str">
        <f ca="1">IF(E67="","",IF(L67="","",MAX(0,INT($B$1)-INT(L67))))</f>
        <v/>
      </c>
      <c r="P67" s="26"/>
      <c r="Q67" s="26"/>
      <c r="R67" s="26"/>
    </row>
    <row r="68" spans="1:18">
      <c r="A68" s="26"/>
      <c r="B68" s="26" t="str">
        <f ca="1">IF(E68="","",IF(OR(F68="已完成",F68="已取消",F68="已移交"),"4 暂不关注",IF(OR(R68="强制立即",A68="▶",AND(ISNUMBER(N68),IF(MOD(N68,1)=0,INT(N68)+下拉列表!$H$5,N68)&lt;=$B$1),AND(F68&lt;&gt;"等待他人",OR(COUNTIF(Q68,"*止损*")&gt;0,COUNTIF(Q68,"*阻塞*")&gt;0))),"1 立即处理",IF(OR(R68="强制今日",AND(F68="等待他人",M68=""),AND(ISNUMBER(M68),IF(MOD(M68,1)=0,INT(M68)+下拉列表!$H$2,M68)&lt;=$B$1),AND(ISNUMBER(N68),INT(IF(MOD(N68,1)=0,INT(N68)+下拉列表!$H$5,N68))=INT($B$1),IF(MOD(N68,1)=0,INT(N68)+下拉列表!$H$5,N68)&gt;$B$1),AND(ISNUMBER(N68),INT(IF(MOD(N68,1)=0,INT(N68)+下拉列表!$H$5,N68))=INT($B$1)+1),AND(COUNTIF(Q68,"*领导DDL*")&gt;0,ISNUMBER(N68),INT(IF(MOD(N68,1)=0,INT(N68)+下拉列表!$H$5,N68))&lt;=INT($B$1)+2)),"2 今日处理",IF(AND(F68="等待他人",ISNUMBER(M68),IF(MOD(M68,1)=0,INT(M68)+下拉列表!$H$2,M68)&gt;$B$1),"4 暂不关注","3 近期关注")))))</f>
        <v/>
      </c>
      <c r="C68" s="26"/>
      <c r="D68" s="26"/>
      <c r="E68" s="26"/>
      <c r="F68" s="26"/>
      <c r="G68" s="26"/>
      <c r="H68" s="26"/>
      <c r="I68" s="26"/>
      <c r="J68" s="26"/>
      <c r="K68" s="32"/>
      <c r="L68" s="32"/>
      <c r="M68" s="33"/>
      <c r="N68" s="33"/>
      <c r="O68" s="34" t="str">
        <f ca="1">IF(E68="","",IF(L68="","",MAX(0,INT($B$1)-INT(L68))))</f>
        <v/>
      </c>
      <c r="P68" s="26"/>
      <c r="Q68" s="26"/>
      <c r="R68" s="26"/>
    </row>
    <row r="69" spans="1:18">
      <c r="A69" s="26"/>
      <c r="B69" s="26" t="str">
        <f ca="1">IF(E69="","",IF(OR(F69="已完成",F69="已取消",F69="已移交"),"4 暂不关注",IF(OR(R69="强制立即",A69="▶",AND(ISNUMBER(N69),IF(MOD(N69,1)=0,INT(N69)+下拉列表!$H$5,N69)&lt;=$B$1),AND(F69&lt;&gt;"等待他人",OR(COUNTIF(Q69,"*止损*")&gt;0,COUNTIF(Q69,"*阻塞*")&gt;0))),"1 立即处理",IF(OR(R69="强制今日",AND(F69="等待他人",M69=""),AND(ISNUMBER(M69),IF(MOD(M69,1)=0,INT(M69)+下拉列表!$H$2,M69)&lt;=$B$1),AND(ISNUMBER(N69),INT(IF(MOD(N69,1)=0,INT(N69)+下拉列表!$H$5,N69))=INT($B$1),IF(MOD(N69,1)=0,INT(N69)+下拉列表!$H$5,N69)&gt;$B$1),AND(ISNUMBER(N69),INT(IF(MOD(N69,1)=0,INT(N69)+下拉列表!$H$5,N69))=INT($B$1)+1),AND(COUNTIF(Q69,"*领导DDL*")&gt;0,ISNUMBER(N69),INT(IF(MOD(N69,1)=0,INT(N69)+下拉列表!$H$5,N69))&lt;=INT($B$1)+2)),"2 今日处理",IF(AND(F69="等待他人",ISNUMBER(M69),IF(MOD(M69,1)=0,INT(M69)+下拉列表!$H$2,M69)&gt;$B$1),"4 暂不关注","3 近期关注")))))</f>
        <v/>
      </c>
      <c r="C69" s="26"/>
      <c r="D69" s="26"/>
      <c r="E69" s="26"/>
      <c r="F69" s="26"/>
      <c r="G69" s="26"/>
      <c r="H69" s="26"/>
      <c r="I69" s="26"/>
      <c r="J69" s="26"/>
      <c r="K69" s="32"/>
      <c r="L69" s="32"/>
      <c r="M69" s="33"/>
      <c r="N69" s="33"/>
      <c r="O69" s="34" t="str">
        <f ca="1">IF(E69="","",IF(L69="","",MAX(0,INT($B$1)-INT(L69))))</f>
        <v/>
      </c>
      <c r="P69" s="26"/>
      <c r="Q69" s="26"/>
      <c r="R69" s="26"/>
    </row>
    <row r="70" spans="1:18">
      <c r="A70" s="26"/>
      <c r="B70" s="26" t="str">
        <f ca="1">IF(E70="","",IF(OR(F70="已完成",F70="已取消",F70="已移交"),"4 暂不关注",IF(OR(R70="强制立即",A70="▶",AND(ISNUMBER(N70),IF(MOD(N70,1)=0,INT(N70)+下拉列表!$H$5,N70)&lt;=$B$1),AND(F70&lt;&gt;"等待他人",OR(COUNTIF(Q70,"*止损*")&gt;0,COUNTIF(Q70,"*阻塞*")&gt;0))),"1 立即处理",IF(OR(R70="强制今日",AND(F70="等待他人",M70=""),AND(ISNUMBER(M70),IF(MOD(M70,1)=0,INT(M70)+下拉列表!$H$2,M70)&lt;=$B$1),AND(ISNUMBER(N70),INT(IF(MOD(N70,1)=0,INT(N70)+下拉列表!$H$5,N70))=INT($B$1),IF(MOD(N70,1)=0,INT(N70)+下拉列表!$H$5,N70)&gt;$B$1),AND(ISNUMBER(N70),INT(IF(MOD(N70,1)=0,INT(N70)+下拉列表!$H$5,N70))=INT($B$1)+1),AND(COUNTIF(Q70,"*领导DDL*")&gt;0,ISNUMBER(N70),INT(IF(MOD(N70,1)=0,INT(N70)+下拉列表!$H$5,N70))&lt;=INT($B$1)+2)),"2 今日处理",IF(AND(F70="等待他人",ISNUMBER(M70),IF(MOD(M70,1)=0,INT(M70)+下拉列表!$H$2,M70)&gt;$B$1),"4 暂不关注","3 近期关注")))))</f>
        <v/>
      </c>
      <c r="C70" s="26"/>
      <c r="D70" s="26"/>
      <c r="E70" s="26"/>
      <c r="F70" s="26"/>
      <c r="G70" s="26"/>
      <c r="H70" s="26"/>
      <c r="I70" s="26"/>
      <c r="J70" s="26"/>
      <c r="K70" s="32"/>
      <c r="L70" s="32"/>
      <c r="M70" s="33"/>
      <c r="N70" s="33"/>
      <c r="O70" s="34" t="str">
        <f ca="1">IF(E70="","",IF(L70="","",MAX(0,INT($B$1)-INT(L70))))</f>
        <v/>
      </c>
      <c r="P70" s="26"/>
      <c r="Q70" s="26"/>
      <c r="R70" s="26"/>
    </row>
    <row r="71" spans="1:18">
      <c r="A71" s="26"/>
      <c r="B71" s="26" t="str">
        <f ca="1">IF(E71="","",IF(OR(F71="已完成",F71="已取消",F71="已移交"),"4 暂不关注",IF(OR(R71="强制立即",A71="▶",AND(ISNUMBER(N71),IF(MOD(N71,1)=0,INT(N71)+下拉列表!$H$5,N71)&lt;=$B$1),AND(F71&lt;&gt;"等待他人",OR(COUNTIF(Q71,"*止损*")&gt;0,COUNTIF(Q71,"*阻塞*")&gt;0))),"1 立即处理",IF(OR(R71="强制今日",AND(F71="等待他人",M71=""),AND(ISNUMBER(M71),IF(MOD(M71,1)=0,INT(M71)+下拉列表!$H$2,M71)&lt;=$B$1),AND(ISNUMBER(N71),INT(IF(MOD(N71,1)=0,INT(N71)+下拉列表!$H$5,N71))=INT($B$1),IF(MOD(N71,1)=0,INT(N71)+下拉列表!$H$5,N71)&gt;$B$1),AND(ISNUMBER(N71),INT(IF(MOD(N71,1)=0,INT(N71)+下拉列表!$H$5,N71))=INT($B$1)+1),AND(COUNTIF(Q71,"*领导DDL*")&gt;0,ISNUMBER(N71),INT(IF(MOD(N71,1)=0,INT(N71)+下拉列表!$H$5,N71))&lt;=INT($B$1)+2)),"2 今日处理",IF(AND(F71="等待他人",ISNUMBER(M71),IF(MOD(M71,1)=0,INT(M71)+下拉列表!$H$2,M71)&gt;$B$1),"4 暂不关注","3 近期关注")))))</f>
        <v/>
      </c>
      <c r="C71" s="26"/>
      <c r="D71" s="26"/>
      <c r="E71" s="26"/>
      <c r="F71" s="26"/>
      <c r="G71" s="26"/>
      <c r="H71" s="26"/>
      <c r="I71" s="26"/>
      <c r="J71" s="26"/>
      <c r="K71" s="32"/>
      <c r="L71" s="32"/>
      <c r="M71" s="33"/>
      <c r="N71" s="33"/>
      <c r="O71" s="34" t="str">
        <f ca="1">IF(E71="","",IF(L71="","",MAX(0,INT($B$1)-INT(L71))))</f>
        <v/>
      </c>
      <c r="P71" s="26"/>
      <c r="Q71" s="26"/>
      <c r="R71" s="26"/>
    </row>
    <row r="72" spans="1:18">
      <c r="A72" s="26"/>
      <c r="B72" s="26" t="str">
        <f ca="1">IF(E72="","",IF(OR(F72="已完成",F72="已取消",F72="已移交"),"4 暂不关注",IF(OR(R72="强制立即",A72="▶",AND(ISNUMBER(N72),IF(MOD(N72,1)=0,INT(N72)+下拉列表!$H$5,N72)&lt;=$B$1),AND(F72&lt;&gt;"等待他人",OR(COUNTIF(Q72,"*止损*")&gt;0,COUNTIF(Q72,"*阻塞*")&gt;0))),"1 立即处理",IF(OR(R72="强制今日",AND(F72="等待他人",M72=""),AND(ISNUMBER(M72),IF(MOD(M72,1)=0,INT(M72)+下拉列表!$H$2,M72)&lt;=$B$1),AND(ISNUMBER(N72),INT(IF(MOD(N72,1)=0,INT(N72)+下拉列表!$H$5,N72))=INT($B$1),IF(MOD(N72,1)=0,INT(N72)+下拉列表!$H$5,N72)&gt;$B$1),AND(ISNUMBER(N72),INT(IF(MOD(N72,1)=0,INT(N72)+下拉列表!$H$5,N72))=INT($B$1)+1),AND(COUNTIF(Q72,"*领导DDL*")&gt;0,ISNUMBER(N72),INT(IF(MOD(N72,1)=0,INT(N72)+下拉列表!$H$5,N72))&lt;=INT($B$1)+2)),"2 今日处理",IF(AND(F72="等待他人",ISNUMBER(M72),IF(MOD(M72,1)=0,INT(M72)+下拉列表!$H$2,M72)&gt;$B$1),"4 暂不关注","3 近期关注")))))</f>
        <v/>
      </c>
      <c r="C72" s="26"/>
      <c r="D72" s="26"/>
      <c r="E72" s="26"/>
      <c r="F72" s="26"/>
      <c r="G72" s="26"/>
      <c r="H72" s="26"/>
      <c r="I72" s="26"/>
      <c r="J72" s="26"/>
      <c r="K72" s="32"/>
      <c r="L72" s="32"/>
      <c r="M72" s="33"/>
      <c r="N72" s="33"/>
      <c r="O72" s="34" t="str">
        <f ca="1">IF(E72="","",IF(L72="","",MAX(0,INT($B$1)-INT(L72))))</f>
        <v/>
      </c>
      <c r="P72" s="26"/>
      <c r="Q72" s="26"/>
      <c r="R72" s="26"/>
    </row>
    <row r="73" spans="1:18">
      <c r="A73" s="26"/>
      <c r="B73" s="26" t="str">
        <f ca="1">IF(E73="","",IF(OR(F73="已完成",F73="已取消",F73="已移交"),"4 暂不关注",IF(OR(R73="强制立即",A73="▶",AND(ISNUMBER(N73),IF(MOD(N73,1)=0,INT(N73)+下拉列表!$H$5,N73)&lt;=$B$1),AND(F73&lt;&gt;"等待他人",OR(COUNTIF(Q73,"*止损*")&gt;0,COUNTIF(Q73,"*阻塞*")&gt;0))),"1 立即处理",IF(OR(R73="强制今日",AND(F73="等待他人",M73=""),AND(ISNUMBER(M73),IF(MOD(M73,1)=0,INT(M73)+下拉列表!$H$2,M73)&lt;=$B$1),AND(ISNUMBER(N73),INT(IF(MOD(N73,1)=0,INT(N73)+下拉列表!$H$5,N73))=INT($B$1),IF(MOD(N73,1)=0,INT(N73)+下拉列表!$H$5,N73)&gt;$B$1),AND(ISNUMBER(N73),INT(IF(MOD(N73,1)=0,INT(N73)+下拉列表!$H$5,N73))=INT($B$1)+1),AND(COUNTIF(Q73,"*领导DDL*")&gt;0,ISNUMBER(N73),INT(IF(MOD(N73,1)=0,INT(N73)+下拉列表!$H$5,N73))&lt;=INT($B$1)+2)),"2 今日处理",IF(AND(F73="等待他人",ISNUMBER(M73),IF(MOD(M73,1)=0,INT(M73)+下拉列表!$H$2,M73)&gt;$B$1),"4 暂不关注","3 近期关注")))))</f>
        <v/>
      </c>
      <c r="C73" s="26"/>
      <c r="D73" s="26"/>
      <c r="E73" s="26"/>
      <c r="F73" s="26"/>
      <c r="G73" s="26"/>
      <c r="H73" s="26"/>
      <c r="I73" s="26"/>
      <c r="J73" s="26"/>
      <c r="K73" s="32"/>
      <c r="L73" s="32"/>
      <c r="M73" s="33"/>
      <c r="N73" s="33"/>
      <c r="O73" s="34" t="str">
        <f ca="1">IF(E73="","",IF(L73="","",MAX(0,INT($B$1)-INT(L73))))</f>
        <v/>
      </c>
      <c r="P73" s="26"/>
      <c r="Q73" s="26"/>
      <c r="R73" s="26"/>
    </row>
    <row r="74" spans="1:18">
      <c r="A74" s="26"/>
      <c r="B74" s="26" t="str">
        <f ca="1">IF(E74="","",IF(OR(F74="已完成",F74="已取消",F74="已移交"),"4 暂不关注",IF(OR(R74="强制立即",A74="▶",AND(ISNUMBER(N74),IF(MOD(N74,1)=0,INT(N74)+下拉列表!$H$5,N74)&lt;=$B$1),AND(F74&lt;&gt;"等待他人",OR(COUNTIF(Q74,"*止损*")&gt;0,COUNTIF(Q74,"*阻塞*")&gt;0))),"1 立即处理",IF(OR(R74="强制今日",AND(F74="等待他人",M74=""),AND(ISNUMBER(M74),IF(MOD(M74,1)=0,INT(M74)+下拉列表!$H$2,M74)&lt;=$B$1),AND(ISNUMBER(N74),INT(IF(MOD(N74,1)=0,INT(N74)+下拉列表!$H$5,N74))=INT($B$1),IF(MOD(N74,1)=0,INT(N74)+下拉列表!$H$5,N74)&gt;$B$1),AND(ISNUMBER(N74),INT(IF(MOD(N74,1)=0,INT(N74)+下拉列表!$H$5,N74))=INT($B$1)+1),AND(COUNTIF(Q74,"*领导DDL*")&gt;0,ISNUMBER(N74),INT(IF(MOD(N74,1)=0,INT(N74)+下拉列表!$H$5,N74))&lt;=INT($B$1)+2)),"2 今日处理",IF(AND(F74="等待他人",ISNUMBER(M74),IF(MOD(M74,1)=0,INT(M74)+下拉列表!$H$2,M74)&gt;$B$1),"4 暂不关注","3 近期关注")))))</f>
        <v/>
      </c>
      <c r="C74" s="26"/>
      <c r="D74" s="26"/>
      <c r="E74" s="26"/>
      <c r="F74" s="26"/>
      <c r="G74" s="26"/>
      <c r="H74" s="26"/>
      <c r="I74" s="26"/>
      <c r="J74" s="26"/>
      <c r="K74" s="32"/>
      <c r="L74" s="32"/>
      <c r="M74" s="33"/>
      <c r="N74" s="33"/>
      <c r="O74" s="34" t="str">
        <f ca="1">IF(E74="","",IF(L74="","",MAX(0,INT($B$1)-INT(L74))))</f>
        <v/>
      </c>
      <c r="P74" s="26"/>
      <c r="Q74" s="26"/>
      <c r="R74" s="26"/>
    </row>
    <row r="75" spans="1:18">
      <c r="A75" s="26"/>
      <c r="B75" s="26" t="str">
        <f ca="1">IF(E75="","",IF(OR(F75="已完成",F75="已取消",F75="已移交"),"4 暂不关注",IF(OR(R75="强制立即",A75="▶",AND(ISNUMBER(N75),IF(MOD(N75,1)=0,INT(N75)+下拉列表!$H$5,N75)&lt;=$B$1),AND(F75&lt;&gt;"等待他人",OR(COUNTIF(Q75,"*止损*")&gt;0,COUNTIF(Q75,"*阻塞*")&gt;0))),"1 立即处理",IF(OR(R75="强制今日",AND(F75="等待他人",M75=""),AND(ISNUMBER(M75),IF(MOD(M75,1)=0,INT(M75)+下拉列表!$H$2,M75)&lt;=$B$1),AND(ISNUMBER(N75),INT(IF(MOD(N75,1)=0,INT(N75)+下拉列表!$H$5,N75))=INT($B$1),IF(MOD(N75,1)=0,INT(N75)+下拉列表!$H$5,N75)&gt;$B$1),AND(ISNUMBER(N75),INT(IF(MOD(N75,1)=0,INT(N75)+下拉列表!$H$5,N75))=INT($B$1)+1),AND(COUNTIF(Q75,"*领导DDL*")&gt;0,ISNUMBER(N75),INT(IF(MOD(N75,1)=0,INT(N75)+下拉列表!$H$5,N75))&lt;=INT($B$1)+2)),"2 今日处理",IF(AND(F75="等待他人",ISNUMBER(M75),IF(MOD(M75,1)=0,INT(M75)+下拉列表!$H$2,M75)&gt;$B$1),"4 暂不关注","3 近期关注")))))</f>
        <v/>
      </c>
      <c r="C75" s="26"/>
      <c r="D75" s="26"/>
      <c r="E75" s="26"/>
      <c r="F75" s="26"/>
      <c r="G75" s="26"/>
      <c r="H75" s="26"/>
      <c r="I75" s="26"/>
      <c r="J75" s="26"/>
      <c r="K75" s="32"/>
      <c r="L75" s="32"/>
      <c r="M75" s="33"/>
      <c r="N75" s="33"/>
      <c r="O75" s="34" t="str">
        <f ca="1">IF(E75="","",IF(L75="","",MAX(0,INT($B$1)-INT(L75))))</f>
        <v/>
      </c>
      <c r="P75" s="26"/>
      <c r="Q75" s="26"/>
      <c r="R75" s="26"/>
    </row>
    <row r="76" spans="1:18">
      <c r="A76" s="26"/>
      <c r="B76" s="26" t="str">
        <f ca="1">IF(E76="","",IF(OR(F76="已完成",F76="已取消",F76="已移交"),"4 暂不关注",IF(OR(R76="强制立即",A76="▶",AND(ISNUMBER(N76),IF(MOD(N76,1)=0,INT(N76)+下拉列表!$H$5,N76)&lt;=$B$1),AND(F76&lt;&gt;"等待他人",OR(COUNTIF(Q76,"*止损*")&gt;0,COUNTIF(Q76,"*阻塞*")&gt;0))),"1 立即处理",IF(OR(R76="强制今日",AND(F76="等待他人",M76=""),AND(ISNUMBER(M76),IF(MOD(M76,1)=0,INT(M76)+下拉列表!$H$2,M76)&lt;=$B$1),AND(ISNUMBER(N76),INT(IF(MOD(N76,1)=0,INT(N76)+下拉列表!$H$5,N76))=INT($B$1),IF(MOD(N76,1)=0,INT(N76)+下拉列表!$H$5,N76)&gt;$B$1),AND(ISNUMBER(N76),INT(IF(MOD(N76,1)=0,INT(N76)+下拉列表!$H$5,N76))=INT($B$1)+1),AND(COUNTIF(Q76,"*领导DDL*")&gt;0,ISNUMBER(N76),INT(IF(MOD(N76,1)=0,INT(N76)+下拉列表!$H$5,N76))&lt;=INT($B$1)+2)),"2 今日处理",IF(AND(F76="等待他人",ISNUMBER(M76),IF(MOD(M76,1)=0,INT(M76)+下拉列表!$H$2,M76)&gt;$B$1),"4 暂不关注","3 近期关注")))))</f>
        <v/>
      </c>
      <c r="C76" s="26"/>
      <c r="D76" s="26"/>
      <c r="E76" s="26"/>
      <c r="F76" s="26"/>
      <c r="G76" s="26"/>
      <c r="H76" s="26"/>
      <c r="I76" s="26"/>
      <c r="J76" s="26"/>
      <c r="K76" s="32"/>
      <c r="L76" s="32"/>
      <c r="M76" s="33"/>
      <c r="N76" s="33"/>
      <c r="O76" s="34" t="str">
        <f ca="1">IF(E76="","",IF(L76="","",MAX(0,INT($B$1)-INT(L76))))</f>
        <v/>
      </c>
      <c r="P76" s="26"/>
      <c r="Q76" s="26"/>
      <c r="R76" s="26"/>
    </row>
    <row r="77" spans="1:18">
      <c r="A77" s="26"/>
      <c r="B77" s="26" t="str">
        <f ca="1">IF(E77="","",IF(OR(F77="已完成",F77="已取消",F77="已移交"),"4 暂不关注",IF(OR(R77="强制立即",A77="▶",AND(ISNUMBER(N77),IF(MOD(N77,1)=0,INT(N77)+下拉列表!$H$5,N77)&lt;=$B$1),AND(F77&lt;&gt;"等待他人",OR(COUNTIF(Q77,"*止损*")&gt;0,COUNTIF(Q77,"*阻塞*")&gt;0))),"1 立即处理",IF(OR(R77="强制今日",AND(F77="等待他人",M77=""),AND(ISNUMBER(M77),IF(MOD(M77,1)=0,INT(M77)+下拉列表!$H$2,M77)&lt;=$B$1),AND(ISNUMBER(N77),INT(IF(MOD(N77,1)=0,INT(N77)+下拉列表!$H$5,N77))=INT($B$1),IF(MOD(N77,1)=0,INT(N77)+下拉列表!$H$5,N77)&gt;$B$1),AND(ISNUMBER(N77),INT(IF(MOD(N77,1)=0,INT(N77)+下拉列表!$H$5,N77))=INT($B$1)+1),AND(COUNTIF(Q77,"*领导DDL*")&gt;0,ISNUMBER(N77),INT(IF(MOD(N77,1)=0,INT(N77)+下拉列表!$H$5,N77))&lt;=INT($B$1)+2)),"2 今日处理",IF(AND(F77="等待他人",ISNUMBER(M77),IF(MOD(M77,1)=0,INT(M77)+下拉列表!$H$2,M77)&gt;$B$1),"4 暂不关注","3 近期关注")))))</f>
        <v/>
      </c>
      <c r="C77" s="26"/>
      <c r="D77" s="26"/>
      <c r="E77" s="26"/>
      <c r="F77" s="26"/>
      <c r="G77" s="26"/>
      <c r="H77" s="26"/>
      <c r="I77" s="26"/>
      <c r="J77" s="26"/>
      <c r="K77" s="32"/>
      <c r="L77" s="32"/>
      <c r="M77" s="33"/>
      <c r="N77" s="33"/>
      <c r="O77" s="34" t="str">
        <f ca="1">IF(E77="","",IF(L77="","",MAX(0,INT($B$1)-INT(L77))))</f>
        <v/>
      </c>
      <c r="P77" s="26"/>
      <c r="Q77" s="26"/>
      <c r="R77" s="26"/>
    </row>
    <row r="78" spans="1:18">
      <c r="A78" s="26"/>
      <c r="B78" s="26" t="str">
        <f ca="1">IF(E78="","",IF(OR(F78="已完成",F78="已取消",F78="已移交"),"4 暂不关注",IF(OR(R78="强制立即",A78="▶",AND(ISNUMBER(N78),IF(MOD(N78,1)=0,INT(N78)+下拉列表!$H$5,N78)&lt;=$B$1),AND(F78&lt;&gt;"等待他人",OR(COUNTIF(Q78,"*止损*")&gt;0,COUNTIF(Q78,"*阻塞*")&gt;0))),"1 立即处理",IF(OR(R78="强制今日",AND(F78="等待他人",M78=""),AND(ISNUMBER(M78),IF(MOD(M78,1)=0,INT(M78)+下拉列表!$H$2,M78)&lt;=$B$1),AND(ISNUMBER(N78),INT(IF(MOD(N78,1)=0,INT(N78)+下拉列表!$H$5,N78))=INT($B$1),IF(MOD(N78,1)=0,INT(N78)+下拉列表!$H$5,N78)&gt;$B$1),AND(ISNUMBER(N78),INT(IF(MOD(N78,1)=0,INT(N78)+下拉列表!$H$5,N78))=INT($B$1)+1),AND(COUNTIF(Q78,"*领导DDL*")&gt;0,ISNUMBER(N78),INT(IF(MOD(N78,1)=0,INT(N78)+下拉列表!$H$5,N78))&lt;=INT($B$1)+2)),"2 今日处理",IF(AND(F78="等待他人",ISNUMBER(M78),IF(MOD(M78,1)=0,INT(M78)+下拉列表!$H$2,M78)&gt;$B$1),"4 暂不关注","3 近期关注")))))</f>
        <v/>
      </c>
      <c r="C78" s="26"/>
      <c r="D78" s="26"/>
      <c r="E78" s="26"/>
      <c r="F78" s="26"/>
      <c r="G78" s="26"/>
      <c r="H78" s="26"/>
      <c r="I78" s="26"/>
      <c r="J78" s="26"/>
      <c r="K78" s="32"/>
      <c r="L78" s="32"/>
      <c r="M78" s="33"/>
      <c r="N78" s="33"/>
      <c r="O78" s="34" t="str">
        <f ca="1">IF(E78="","",IF(L78="","",MAX(0,INT($B$1)-INT(L78))))</f>
        <v/>
      </c>
      <c r="P78" s="26"/>
      <c r="Q78" s="26"/>
      <c r="R78" s="26"/>
    </row>
    <row r="79" spans="1:18">
      <c r="A79" s="26"/>
      <c r="B79" s="26" t="str">
        <f ca="1">IF(E79="","",IF(OR(F79="已完成",F79="已取消",F79="已移交"),"4 暂不关注",IF(OR(R79="强制立即",A79="▶",AND(ISNUMBER(N79),IF(MOD(N79,1)=0,INT(N79)+下拉列表!$H$5,N79)&lt;=$B$1),AND(F79&lt;&gt;"等待他人",OR(COUNTIF(Q79,"*止损*")&gt;0,COUNTIF(Q79,"*阻塞*")&gt;0))),"1 立即处理",IF(OR(R79="强制今日",AND(F79="等待他人",M79=""),AND(ISNUMBER(M79),IF(MOD(M79,1)=0,INT(M79)+下拉列表!$H$2,M79)&lt;=$B$1),AND(ISNUMBER(N79),INT(IF(MOD(N79,1)=0,INT(N79)+下拉列表!$H$5,N79))=INT($B$1),IF(MOD(N79,1)=0,INT(N79)+下拉列表!$H$5,N79)&gt;$B$1),AND(ISNUMBER(N79),INT(IF(MOD(N79,1)=0,INT(N79)+下拉列表!$H$5,N79))=INT($B$1)+1),AND(COUNTIF(Q79,"*领导DDL*")&gt;0,ISNUMBER(N79),INT(IF(MOD(N79,1)=0,INT(N79)+下拉列表!$H$5,N79))&lt;=INT($B$1)+2)),"2 今日处理",IF(AND(F79="等待他人",ISNUMBER(M79),IF(MOD(M79,1)=0,INT(M79)+下拉列表!$H$2,M79)&gt;$B$1),"4 暂不关注","3 近期关注")))))</f>
        <v/>
      </c>
      <c r="C79" s="26"/>
      <c r="D79" s="26"/>
      <c r="E79" s="26"/>
      <c r="F79" s="26"/>
      <c r="G79" s="26"/>
      <c r="H79" s="26"/>
      <c r="I79" s="26"/>
      <c r="J79" s="26"/>
      <c r="K79" s="32"/>
      <c r="L79" s="32"/>
      <c r="M79" s="33"/>
      <c r="N79" s="33"/>
      <c r="O79" s="34" t="str">
        <f ca="1">IF(E79="","",IF(L79="","",MAX(0,INT($B$1)-INT(L79))))</f>
        <v/>
      </c>
      <c r="P79" s="26"/>
      <c r="Q79" s="26"/>
      <c r="R79" s="26"/>
    </row>
    <row r="80" spans="1:18">
      <c r="A80" s="26"/>
      <c r="B80" s="26" t="str">
        <f ca="1">IF(E80="","",IF(OR(F80="已完成",F80="已取消",F80="已移交"),"4 暂不关注",IF(OR(R80="强制立即",A80="▶",AND(ISNUMBER(N80),IF(MOD(N80,1)=0,INT(N80)+下拉列表!$H$5,N80)&lt;=$B$1),AND(F80&lt;&gt;"等待他人",OR(COUNTIF(Q80,"*止损*")&gt;0,COUNTIF(Q80,"*阻塞*")&gt;0))),"1 立即处理",IF(OR(R80="强制今日",AND(F80="等待他人",M80=""),AND(ISNUMBER(M80),IF(MOD(M80,1)=0,INT(M80)+下拉列表!$H$2,M80)&lt;=$B$1),AND(ISNUMBER(N80),INT(IF(MOD(N80,1)=0,INT(N80)+下拉列表!$H$5,N80))=INT($B$1),IF(MOD(N80,1)=0,INT(N80)+下拉列表!$H$5,N80)&gt;$B$1),AND(ISNUMBER(N80),INT(IF(MOD(N80,1)=0,INT(N80)+下拉列表!$H$5,N80))=INT($B$1)+1),AND(COUNTIF(Q80,"*领导DDL*")&gt;0,ISNUMBER(N80),INT(IF(MOD(N80,1)=0,INT(N80)+下拉列表!$H$5,N80))&lt;=INT($B$1)+2)),"2 今日处理",IF(AND(F80="等待他人",ISNUMBER(M80),IF(MOD(M80,1)=0,INT(M80)+下拉列表!$H$2,M80)&gt;$B$1),"4 暂不关注","3 近期关注")))))</f>
        <v/>
      </c>
      <c r="C80" s="26"/>
      <c r="D80" s="26"/>
      <c r="E80" s="26"/>
      <c r="F80" s="26"/>
      <c r="G80" s="26"/>
      <c r="H80" s="26"/>
      <c r="I80" s="26"/>
      <c r="J80" s="26"/>
      <c r="K80" s="32"/>
      <c r="L80" s="32"/>
      <c r="M80" s="33"/>
      <c r="N80" s="33"/>
      <c r="O80" s="34" t="str">
        <f ca="1">IF(E80="","",IF(L80="","",MAX(0,INT($B$1)-INT(L80))))</f>
        <v/>
      </c>
      <c r="P80" s="26"/>
      <c r="Q80" s="26"/>
      <c r="R80" s="26"/>
    </row>
    <row r="81" spans="1:18">
      <c r="A81" s="26"/>
      <c r="B81" s="26" t="str">
        <f ca="1">IF(E81="","",IF(OR(F81="已完成",F81="已取消",F81="已移交"),"4 暂不关注",IF(OR(R81="强制立即",A81="▶",AND(ISNUMBER(N81),IF(MOD(N81,1)=0,INT(N81)+下拉列表!$H$5,N81)&lt;=$B$1),AND(F81&lt;&gt;"等待他人",OR(COUNTIF(Q81,"*止损*")&gt;0,COUNTIF(Q81,"*阻塞*")&gt;0))),"1 立即处理",IF(OR(R81="强制今日",AND(F81="等待他人",M81=""),AND(ISNUMBER(M81),IF(MOD(M81,1)=0,INT(M81)+下拉列表!$H$2,M81)&lt;=$B$1),AND(ISNUMBER(N81),INT(IF(MOD(N81,1)=0,INT(N81)+下拉列表!$H$5,N81))=INT($B$1),IF(MOD(N81,1)=0,INT(N81)+下拉列表!$H$5,N81)&gt;$B$1),AND(ISNUMBER(N81),INT(IF(MOD(N81,1)=0,INT(N81)+下拉列表!$H$5,N81))=INT($B$1)+1),AND(COUNTIF(Q81,"*领导DDL*")&gt;0,ISNUMBER(N81),INT(IF(MOD(N81,1)=0,INT(N81)+下拉列表!$H$5,N81))&lt;=INT($B$1)+2)),"2 今日处理",IF(AND(F81="等待他人",ISNUMBER(M81),IF(MOD(M81,1)=0,INT(M81)+下拉列表!$H$2,M81)&gt;$B$1),"4 暂不关注","3 近期关注")))))</f>
        <v/>
      </c>
      <c r="C81" s="26"/>
      <c r="D81" s="26"/>
      <c r="E81" s="26"/>
      <c r="F81" s="26"/>
      <c r="G81" s="26"/>
      <c r="H81" s="26"/>
      <c r="I81" s="26"/>
      <c r="J81" s="26"/>
      <c r="K81" s="32"/>
      <c r="L81" s="32"/>
      <c r="M81" s="33"/>
      <c r="N81" s="33"/>
      <c r="O81" s="34" t="str">
        <f ca="1">IF(E81="","",IF(L81="","",MAX(0,INT($B$1)-INT(L81))))</f>
        <v/>
      </c>
      <c r="P81" s="26"/>
      <c r="Q81" s="26"/>
      <c r="R81" s="26"/>
    </row>
    <row r="82" spans="1:18">
      <c r="A82" s="26"/>
      <c r="B82" s="26" t="str">
        <f ca="1">IF(E82="","",IF(OR(F82="已完成",F82="已取消",F82="已移交"),"4 暂不关注",IF(OR(R82="强制立即",A82="▶",AND(ISNUMBER(N82),IF(MOD(N82,1)=0,INT(N82)+下拉列表!$H$5,N82)&lt;=$B$1),AND(F82&lt;&gt;"等待他人",OR(COUNTIF(Q82,"*止损*")&gt;0,COUNTIF(Q82,"*阻塞*")&gt;0))),"1 立即处理",IF(OR(R82="强制今日",AND(F82="等待他人",M82=""),AND(ISNUMBER(M82),IF(MOD(M82,1)=0,INT(M82)+下拉列表!$H$2,M82)&lt;=$B$1),AND(ISNUMBER(N82),INT(IF(MOD(N82,1)=0,INT(N82)+下拉列表!$H$5,N82))=INT($B$1),IF(MOD(N82,1)=0,INT(N82)+下拉列表!$H$5,N82)&gt;$B$1),AND(ISNUMBER(N82),INT(IF(MOD(N82,1)=0,INT(N82)+下拉列表!$H$5,N82))=INT($B$1)+1),AND(COUNTIF(Q82,"*领导DDL*")&gt;0,ISNUMBER(N82),INT(IF(MOD(N82,1)=0,INT(N82)+下拉列表!$H$5,N82))&lt;=INT($B$1)+2)),"2 今日处理",IF(AND(F82="等待他人",ISNUMBER(M82),IF(MOD(M82,1)=0,INT(M82)+下拉列表!$H$2,M82)&gt;$B$1),"4 暂不关注","3 近期关注")))))</f>
        <v/>
      </c>
      <c r="C82" s="26"/>
      <c r="D82" s="26"/>
      <c r="E82" s="26"/>
      <c r="F82" s="26"/>
      <c r="G82" s="26"/>
      <c r="H82" s="26"/>
      <c r="I82" s="26"/>
      <c r="J82" s="26"/>
      <c r="K82" s="32"/>
      <c r="L82" s="32"/>
      <c r="M82" s="33"/>
      <c r="N82" s="33"/>
      <c r="O82" s="34" t="str">
        <f ca="1">IF(E82="","",IF(L82="","",MAX(0,INT($B$1)-INT(L82))))</f>
        <v/>
      </c>
      <c r="P82" s="26"/>
      <c r="Q82" s="26"/>
      <c r="R82" s="26"/>
    </row>
    <row r="83" spans="1:18">
      <c r="A83" s="26"/>
      <c r="B83" s="26" t="str">
        <f ca="1">IF(E83="","",IF(OR(F83="已完成",F83="已取消",F83="已移交"),"4 暂不关注",IF(OR(R83="强制立即",A83="▶",AND(ISNUMBER(N83),IF(MOD(N83,1)=0,INT(N83)+下拉列表!$H$5,N83)&lt;=$B$1),AND(F83&lt;&gt;"等待他人",OR(COUNTIF(Q83,"*止损*")&gt;0,COUNTIF(Q83,"*阻塞*")&gt;0))),"1 立即处理",IF(OR(R83="强制今日",AND(F83="等待他人",M83=""),AND(ISNUMBER(M83),IF(MOD(M83,1)=0,INT(M83)+下拉列表!$H$2,M83)&lt;=$B$1),AND(ISNUMBER(N83),INT(IF(MOD(N83,1)=0,INT(N83)+下拉列表!$H$5,N83))=INT($B$1),IF(MOD(N83,1)=0,INT(N83)+下拉列表!$H$5,N83)&gt;$B$1),AND(ISNUMBER(N83),INT(IF(MOD(N83,1)=0,INT(N83)+下拉列表!$H$5,N83))=INT($B$1)+1),AND(COUNTIF(Q83,"*领导DDL*")&gt;0,ISNUMBER(N83),INT(IF(MOD(N83,1)=0,INT(N83)+下拉列表!$H$5,N83))&lt;=INT($B$1)+2)),"2 今日处理",IF(AND(F83="等待他人",ISNUMBER(M83),IF(MOD(M83,1)=0,INT(M83)+下拉列表!$H$2,M83)&gt;$B$1),"4 暂不关注","3 近期关注")))))</f>
        <v/>
      </c>
      <c r="C83" s="26"/>
      <c r="D83" s="26"/>
      <c r="E83" s="26"/>
      <c r="F83" s="26"/>
      <c r="G83" s="26"/>
      <c r="H83" s="26"/>
      <c r="I83" s="26"/>
      <c r="J83" s="26"/>
      <c r="K83" s="32"/>
      <c r="L83" s="32"/>
      <c r="M83" s="33"/>
      <c r="N83" s="33"/>
      <c r="O83" s="34" t="str">
        <f ca="1">IF(E83="","",IF(L83="","",MAX(0,INT($B$1)-INT(L83))))</f>
        <v/>
      </c>
      <c r="P83" s="26"/>
      <c r="Q83" s="26"/>
      <c r="R83" s="26"/>
    </row>
    <row r="84" spans="1:18">
      <c r="A84" s="26"/>
      <c r="B84" s="26" t="str">
        <f ca="1">IF(E84="","",IF(OR(F84="已完成",F84="已取消",F84="已移交"),"4 暂不关注",IF(OR(R84="强制立即",A84="▶",AND(ISNUMBER(N84),IF(MOD(N84,1)=0,INT(N84)+下拉列表!$H$5,N84)&lt;=$B$1),AND(F84&lt;&gt;"等待他人",OR(COUNTIF(Q84,"*止损*")&gt;0,COUNTIF(Q84,"*阻塞*")&gt;0))),"1 立即处理",IF(OR(R84="强制今日",AND(F84="等待他人",M84=""),AND(ISNUMBER(M84),IF(MOD(M84,1)=0,INT(M84)+下拉列表!$H$2,M84)&lt;=$B$1),AND(ISNUMBER(N84),INT(IF(MOD(N84,1)=0,INT(N84)+下拉列表!$H$5,N84))=INT($B$1),IF(MOD(N84,1)=0,INT(N84)+下拉列表!$H$5,N84)&gt;$B$1),AND(ISNUMBER(N84),INT(IF(MOD(N84,1)=0,INT(N84)+下拉列表!$H$5,N84))=INT($B$1)+1),AND(COUNTIF(Q84,"*领导DDL*")&gt;0,ISNUMBER(N84),INT(IF(MOD(N84,1)=0,INT(N84)+下拉列表!$H$5,N84))&lt;=INT($B$1)+2)),"2 今日处理",IF(AND(F84="等待他人",ISNUMBER(M84),IF(MOD(M84,1)=0,INT(M84)+下拉列表!$H$2,M84)&gt;$B$1),"4 暂不关注","3 近期关注")))))</f>
        <v/>
      </c>
      <c r="C84" s="26"/>
      <c r="D84" s="26"/>
      <c r="E84" s="26"/>
      <c r="F84" s="26"/>
      <c r="G84" s="26"/>
      <c r="H84" s="26"/>
      <c r="I84" s="26"/>
      <c r="J84" s="26"/>
      <c r="K84" s="32"/>
      <c r="L84" s="32"/>
      <c r="M84" s="33"/>
      <c r="N84" s="33"/>
      <c r="O84" s="34" t="str">
        <f ca="1">IF(E84="","",IF(L84="","",MAX(0,INT($B$1)-INT(L84))))</f>
        <v/>
      </c>
      <c r="P84" s="26"/>
      <c r="Q84" s="26"/>
      <c r="R84" s="26"/>
    </row>
    <row r="85" spans="1:18">
      <c r="A85" s="26"/>
      <c r="B85" s="26" t="str">
        <f ca="1">IF(E85="","",IF(OR(F85="已完成",F85="已取消",F85="已移交"),"4 暂不关注",IF(OR(R85="强制立即",A85="▶",AND(ISNUMBER(N85),IF(MOD(N85,1)=0,INT(N85)+下拉列表!$H$5,N85)&lt;=$B$1),AND(F85&lt;&gt;"等待他人",OR(COUNTIF(Q85,"*止损*")&gt;0,COUNTIF(Q85,"*阻塞*")&gt;0))),"1 立即处理",IF(OR(R85="强制今日",AND(F85="等待他人",M85=""),AND(ISNUMBER(M85),IF(MOD(M85,1)=0,INT(M85)+下拉列表!$H$2,M85)&lt;=$B$1),AND(ISNUMBER(N85),INT(IF(MOD(N85,1)=0,INT(N85)+下拉列表!$H$5,N85))=INT($B$1),IF(MOD(N85,1)=0,INT(N85)+下拉列表!$H$5,N85)&gt;$B$1),AND(ISNUMBER(N85),INT(IF(MOD(N85,1)=0,INT(N85)+下拉列表!$H$5,N85))=INT($B$1)+1),AND(COUNTIF(Q85,"*领导DDL*")&gt;0,ISNUMBER(N85),INT(IF(MOD(N85,1)=0,INT(N85)+下拉列表!$H$5,N85))&lt;=INT($B$1)+2)),"2 今日处理",IF(AND(F85="等待他人",ISNUMBER(M85),IF(MOD(M85,1)=0,INT(M85)+下拉列表!$H$2,M85)&gt;$B$1),"4 暂不关注","3 近期关注")))))</f>
        <v/>
      </c>
      <c r="C85" s="26"/>
      <c r="D85" s="26"/>
      <c r="E85" s="26"/>
      <c r="F85" s="26"/>
      <c r="G85" s="26"/>
      <c r="H85" s="26"/>
      <c r="I85" s="26"/>
      <c r="J85" s="26"/>
      <c r="K85" s="32"/>
      <c r="L85" s="32"/>
      <c r="M85" s="33"/>
      <c r="N85" s="33"/>
      <c r="O85" s="34" t="str">
        <f ca="1">IF(E85="","",IF(L85="","",MAX(0,INT($B$1)-INT(L85))))</f>
        <v/>
      </c>
      <c r="P85" s="26"/>
      <c r="Q85" s="26"/>
      <c r="R85" s="26"/>
    </row>
    <row r="86" spans="1:18">
      <c r="A86" s="26"/>
      <c r="B86" s="26" t="str">
        <f ca="1">IF(E86="","",IF(OR(F86="已完成",F86="已取消",F86="已移交"),"4 暂不关注",IF(OR(R86="强制立即",A86="▶",AND(ISNUMBER(N86),IF(MOD(N86,1)=0,INT(N86)+下拉列表!$H$5,N86)&lt;=$B$1),AND(F86&lt;&gt;"等待他人",OR(COUNTIF(Q86,"*止损*")&gt;0,COUNTIF(Q86,"*阻塞*")&gt;0))),"1 立即处理",IF(OR(R86="强制今日",AND(F86="等待他人",M86=""),AND(ISNUMBER(M86),IF(MOD(M86,1)=0,INT(M86)+下拉列表!$H$2,M86)&lt;=$B$1),AND(ISNUMBER(N86),INT(IF(MOD(N86,1)=0,INT(N86)+下拉列表!$H$5,N86))=INT($B$1),IF(MOD(N86,1)=0,INT(N86)+下拉列表!$H$5,N86)&gt;$B$1),AND(ISNUMBER(N86),INT(IF(MOD(N86,1)=0,INT(N86)+下拉列表!$H$5,N86))=INT($B$1)+1),AND(COUNTIF(Q86,"*领导DDL*")&gt;0,ISNUMBER(N86),INT(IF(MOD(N86,1)=0,INT(N86)+下拉列表!$H$5,N86))&lt;=INT($B$1)+2)),"2 今日处理",IF(AND(F86="等待他人",ISNUMBER(M86),IF(MOD(M86,1)=0,INT(M86)+下拉列表!$H$2,M86)&gt;$B$1),"4 暂不关注","3 近期关注")))))</f>
        <v/>
      </c>
      <c r="C86" s="26"/>
      <c r="D86" s="26"/>
      <c r="E86" s="26"/>
      <c r="F86" s="26"/>
      <c r="G86" s="26"/>
      <c r="H86" s="26"/>
      <c r="I86" s="26"/>
      <c r="J86" s="26"/>
      <c r="K86" s="32"/>
      <c r="L86" s="32"/>
      <c r="M86" s="33"/>
      <c r="N86" s="33"/>
      <c r="O86" s="34" t="str">
        <f ca="1">IF(E86="","",IF(L86="","",MAX(0,INT($B$1)-INT(L86))))</f>
        <v/>
      </c>
      <c r="P86" s="26"/>
      <c r="Q86" s="26"/>
      <c r="R86" s="26"/>
    </row>
    <row r="87" spans="1:18">
      <c r="A87" s="26"/>
      <c r="B87" s="26" t="str">
        <f ca="1">IF(E87="","",IF(OR(F87="已完成",F87="已取消",F87="已移交"),"4 暂不关注",IF(OR(R87="强制立即",A87="▶",AND(ISNUMBER(N87),IF(MOD(N87,1)=0,INT(N87)+下拉列表!$H$5,N87)&lt;=$B$1),AND(F87&lt;&gt;"等待他人",OR(COUNTIF(Q87,"*止损*")&gt;0,COUNTIF(Q87,"*阻塞*")&gt;0))),"1 立即处理",IF(OR(R87="强制今日",AND(F87="等待他人",M87=""),AND(ISNUMBER(M87),IF(MOD(M87,1)=0,INT(M87)+下拉列表!$H$2,M87)&lt;=$B$1),AND(ISNUMBER(N87),INT(IF(MOD(N87,1)=0,INT(N87)+下拉列表!$H$5,N87))=INT($B$1),IF(MOD(N87,1)=0,INT(N87)+下拉列表!$H$5,N87)&gt;$B$1),AND(ISNUMBER(N87),INT(IF(MOD(N87,1)=0,INT(N87)+下拉列表!$H$5,N87))=INT($B$1)+1),AND(COUNTIF(Q87,"*领导DDL*")&gt;0,ISNUMBER(N87),INT(IF(MOD(N87,1)=0,INT(N87)+下拉列表!$H$5,N87))&lt;=INT($B$1)+2)),"2 今日处理",IF(AND(F87="等待他人",ISNUMBER(M87),IF(MOD(M87,1)=0,INT(M87)+下拉列表!$H$2,M87)&gt;$B$1),"4 暂不关注","3 近期关注")))))</f>
        <v/>
      </c>
      <c r="C87" s="26"/>
      <c r="D87" s="26"/>
      <c r="E87" s="26"/>
      <c r="F87" s="26"/>
      <c r="G87" s="26"/>
      <c r="H87" s="26"/>
      <c r="I87" s="26"/>
      <c r="J87" s="26"/>
      <c r="K87" s="32"/>
      <c r="L87" s="32"/>
      <c r="M87" s="33"/>
      <c r="N87" s="33"/>
      <c r="O87" s="34" t="str">
        <f ca="1">IF(E87="","",IF(L87="","",MAX(0,INT($B$1)-INT(L87))))</f>
        <v/>
      </c>
      <c r="P87" s="26"/>
      <c r="Q87" s="26"/>
      <c r="R87" s="26"/>
    </row>
    <row r="88" spans="1:18">
      <c r="A88" s="26"/>
      <c r="B88" s="26" t="str">
        <f ca="1">IF(E88="","",IF(OR(F88="已完成",F88="已取消",F88="已移交"),"4 暂不关注",IF(OR(R88="强制立即",A88="▶",AND(ISNUMBER(N88),IF(MOD(N88,1)=0,INT(N88)+下拉列表!$H$5,N88)&lt;=$B$1),AND(F88&lt;&gt;"等待他人",OR(COUNTIF(Q88,"*止损*")&gt;0,COUNTIF(Q88,"*阻塞*")&gt;0))),"1 立即处理",IF(OR(R88="强制今日",AND(F88="等待他人",M88=""),AND(ISNUMBER(M88),IF(MOD(M88,1)=0,INT(M88)+下拉列表!$H$2,M88)&lt;=$B$1),AND(ISNUMBER(N88),INT(IF(MOD(N88,1)=0,INT(N88)+下拉列表!$H$5,N88))=INT($B$1),IF(MOD(N88,1)=0,INT(N88)+下拉列表!$H$5,N88)&gt;$B$1),AND(ISNUMBER(N88),INT(IF(MOD(N88,1)=0,INT(N88)+下拉列表!$H$5,N88))=INT($B$1)+1),AND(COUNTIF(Q88,"*领导DDL*")&gt;0,ISNUMBER(N88),INT(IF(MOD(N88,1)=0,INT(N88)+下拉列表!$H$5,N88))&lt;=INT($B$1)+2)),"2 今日处理",IF(AND(F88="等待他人",ISNUMBER(M88),IF(MOD(M88,1)=0,INT(M88)+下拉列表!$H$2,M88)&gt;$B$1),"4 暂不关注","3 近期关注")))))</f>
        <v/>
      </c>
      <c r="C88" s="26"/>
      <c r="D88" s="26"/>
      <c r="E88" s="26"/>
      <c r="F88" s="26"/>
      <c r="G88" s="26"/>
      <c r="H88" s="26"/>
      <c r="I88" s="26"/>
      <c r="J88" s="26"/>
      <c r="K88" s="32"/>
      <c r="L88" s="32"/>
      <c r="M88" s="33"/>
      <c r="N88" s="33"/>
      <c r="O88" s="34" t="str">
        <f ca="1">IF(E88="","",IF(L88="","",MAX(0,INT($B$1)-INT(L88))))</f>
        <v/>
      </c>
      <c r="P88" s="26"/>
      <c r="Q88" s="26"/>
      <c r="R88" s="26"/>
    </row>
    <row r="89" spans="1:18">
      <c r="A89" s="26"/>
      <c r="B89" s="26" t="str">
        <f ca="1">IF(E89="","",IF(OR(F89="已完成",F89="已取消",F89="已移交"),"4 暂不关注",IF(OR(R89="强制立即",A89="▶",AND(ISNUMBER(N89),IF(MOD(N89,1)=0,INT(N89)+下拉列表!$H$5,N89)&lt;=$B$1),AND(F89&lt;&gt;"等待他人",OR(COUNTIF(Q89,"*止损*")&gt;0,COUNTIF(Q89,"*阻塞*")&gt;0))),"1 立即处理",IF(OR(R89="强制今日",AND(F89="等待他人",M89=""),AND(ISNUMBER(M89),IF(MOD(M89,1)=0,INT(M89)+下拉列表!$H$2,M89)&lt;=$B$1),AND(ISNUMBER(N89),INT(IF(MOD(N89,1)=0,INT(N89)+下拉列表!$H$5,N89))=INT($B$1),IF(MOD(N89,1)=0,INT(N89)+下拉列表!$H$5,N89)&gt;$B$1),AND(ISNUMBER(N89),INT(IF(MOD(N89,1)=0,INT(N89)+下拉列表!$H$5,N89))=INT($B$1)+1),AND(COUNTIF(Q89,"*领导DDL*")&gt;0,ISNUMBER(N89),INT(IF(MOD(N89,1)=0,INT(N89)+下拉列表!$H$5,N89))&lt;=INT($B$1)+2)),"2 今日处理",IF(AND(F89="等待他人",ISNUMBER(M89),IF(MOD(M89,1)=0,INT(M89)+下拉列表!$H$2,M89)&gt;$B$1),"4 暂不关注","3 近期关注")))))</f>
        <v/>
      </c>
      <c r="C89" s="26"/>
      <c r="D89" s="26"/>
      <c r="E89" s="26"/>
      <c r="F89" s="26"/>
      <c r="G89" s="26"/>
      <c r="H89" s="26"/>
      <c r="I89" s="26"/>
      <c r="J89" s="26"/>
      <c r="K89" s="32"/>
      <c r="L89" s="32"/>
      <c r="M89" s="33"/>
      <c r="N89" s="33"/>
      <c r="O89" s="34" t="str">
        <f ca="1">IF(E89="","",IF(L89="","",MAX(0,INT($B$1)-INT(L89))))</f>
        <v/>
      </c>
      <c r="P89" s="26"/>
      <c r="Q89" s="26"/>
      <c r="R89" s="26"/>
    </row>
    <row r="90" spans="1:18">
      <c r="A90" s="26"/>
      <c r="B90" s="26" t="str">
        <f ca="1">IF(E90="","",IF(OR(F90="已完成",F90="已取消",F90="已移交"),"4 暂不关注",IF(OR(R90="强制立即",A90="▶",AND(ISNUMBER(N90),IF(MOD(N90,1)=0,INT(N90)+下拉列表!$H$5,N90)&lt;=$B$1),AND(F90&lt;&gt;"等待他人",OR(COUNTIF(Q90,"*止损*")&gt;0,COUNTIF(Q90,"*阻塞*")&gt;0))),"1 立即处理",IF(OR(R90="强制今日",AND(F90="等待他人",M90=""),AND(ISNUMBER(M90),IF(MOD(M90,1)=0,INT(M90)+下拉列表!$H$2,M90)&lt;=$B$1),AND(ISNUMBER(N90),INT(IF(MOD(N90,1)=0,INT(N90)+下拉列表!$H$5,N90))=INT($B$1),IF(MOD(N90,1)=0,INT(N90)+下拉列表!$H$5,N90)&gt;$B$1),AND(ISNUMBER(N90),INT(IF(MOD(N90,1)=0,INT(N90)+下拉列表!$H$5,N90))=INT($B$1)+1),AND(COUNTIF(Q90,"*领导DDL*")&gt;0,ISNUMBER(N90),INT(IF(MOD(N90,1)=0,INT(N90)+下拉列表!$H$5,N90))&lt;=INT($B$1)+2)),"2 今日处理",IF(AND(F90="等待他人",ISNUMBER(M90),IF(MOD(M90,1)=0,INT(M90)+下拉列表!$H$2,M90)&gt;$B$1),"4 暂不关注","3 近期关注")))))</f>
        <v/>
      </c>
      <c r="C90" s="26"/>
      <c r="D90" s="26"/>
      <c r="E90" s="26"/>
      <c r="F90" s="26"/>
      <c r="G90" s="26"/>
      <c r="H90" s="26"/>
      <c r="I90" s="26"/>
      <c r="J90" s="26"/>
      <c r="K90" s="32"/>
      <c r="L90" s="32"/>
      <c r="M90" s="33"/>
      <c r="N90" s="33"/>
      <c r="O90" s="34" t="str">
        <f ca="1">IF(E90="","",IF(L90="","",MAX(0,INT($B$1)-INT(L90))))</f>
        <v/>
      </c>
      <c r="P90" s="26"/>
      <c r="Q90" s="26"/>
      <c r="R90" s="26"/>
    </row>
    <row r="91" spans="1:18">
      <c r="A91" s="26"/>
      <c r="B91" s="26" t="str">
        <f ca="1">IF(E91="","",IF(OR(F91="已完成",F91="已取消",F91="已移交"),"4 暂不关注",IF(OR(R91="强制立即",A91="▶",AND(ISNUMBER(N91),IF(MOD(N91,1)=0,INT(N91)+下拉列表!$H$5,N91)&lt;=$B$1),AND(F91&lt;&gt;"等待他人",OR(COUNTIF(Q91,"*止损*")&gt;0,COUNTIF(Q91,"*阻塞*")&gt;0))),"1 立即处理",IF(OR(R91="强制今日",AND(F91="等待他人",M91=""),AND(ISNUMBER(M91),IF(MOD(M91,1)=0,INT(M91)+下拉列表!$H$2,M91)&lt;=$B$1),AND(ISNUMBER(N91),INT(IF(MOD(N91,1)=0,INT(N91)+下拉列表!$H$5,N91))=INT($B$1),IF(MOD(N91,1)=0,INT(N91)+下拉列表!$H$5,N91)&gt;$B$1),AND(ISNUMBER(N91),INT(IF(MOD(N91,1)=0,INT(N91)+下拉列表!$H$5,N91))=INT($B$1)+1),AND(COUNTIF(Q91,"*领导DDL*")&gt;0,ISNUMBER(N91),INT(IF(MOD(N91,1)=0,INT(N91)+下拉列表!$H$5,N91))&lt;=INT($B$1)+2)),"2 今日处理",IF(AND(F91="等待他人",ISNUMBER(M91),IF(MOD(M91,1)=0,INT(M91)+下拉列表!$H$2,M91)&gt;$B$1),"4 暂不关注","3 近期关注")))))</f>
        <v/>
      </c>
      <c r="C91" s="26"/>
      <c r="D91" s="26"/>
      <c r="E91" s="26"/>
      <c r="F91" s="26"/>
      <c r="G91" s="26"/>
      <c r="H91" s="26"/>
      <c r="I91" s="26"/>
      <c r="J91" s="26"/>
      <c r="K91" s="32"/>
      <c r="L91" s="32"/>
      <c r="M91" s="33"/>
      <c r="N91" s="33"/>
      <c r="O91" s="34" t="str">
        <f ca="1">IF(E91="","",IF(L91="","",MAX(0,INT($B$1)-INT(L91))))</f>
        <v/>
      </c>
      <c r="P91" s="26"/>
      <c r="Q91" s="26"/>
      <c r="R91" s="26"/>
    </row>
    <row r="92" spans="1:18">
      <c r="A92" s="26"/>
      <c r="B92" s="26" t="str">
        <f ca="1">IF(E92="","",IF(OR(F92="已完成",F92="已取消",F92="已移交"),"4 暂不关注",IF(OR(R92="强制立即",A92="▶",AND(ISNUMBER(N92),IF(MOD(N92,1)=0,INT(N92)+下拉列表!$H$5,N92)&lt;=$B$1),AND(F92&lt;&gt;"等待他人",OR(COUNTIF(Q92,"*止损*")&gt;0,COUNTIF(Q92,"*阻塞*")&gt;0))),"1 立即处理",IF(OR(R92="强制今日",AND(F92="等待他人",M92=""),AND(ISNUMBER(M92),IF(MOD(M92,1)=0,INT(M92)+下拉列表!$H$2,M92)&lt;=$B$1),AND(ISNUMBER(N92),INT(IF(MOD(N92,1)=0,INT(N92)+下拉列表!$H$5,N92))=INT($B$1),IF(MOD(N92,1)=0,INT(N92)+下拉列表!$H$5,N92)&gt;$B$1),AND(ISNUMBER(N92),INT(IF(MOD(N92,1)=0,INT(N92)+下拉列表!$H$5,N92))=INT($B$1)+1),AND(COUNTIF(Q92,"*领导DDL*")&gt;0,ISNUMBER(N92),INT(IF(MOD(N92,1)=0,INT(N92)+下拉列表!$H$5,N92))&lt;=INT($B$1)+2)),"2 今日处理",IF(AND(F92="等待他人",ISNUMBER(M92),IF(MOD(M92,1)=0,INT(M92)+下拉列表!$H$2,M92)&gt;$B$1),"4 暂不关注","3 近期关注")))))</f>
        <v/>
      </c>
      <c r="C92" s="26"/>
      <c r="D92" s="26"/>
      <c r="E92" s="26"/>
      <c r="F92" s="26"/>
      <c r="G92" s="26"/>
      <c r="H92" s="26"/>
      <c r="I92" s="26"/>
      <c r="J92" s="26"/>
      <c r="K92" s="32"/>
      <c r="L92" s="32"/>
      <c r="M92" s="33"/>
      <c r="N92" s="33"/>
      <c r="O92" s="34" t="str">
        <f ca="1">IF(E92="","",IF(L92="","",MAX(0,INT($B$1)-INT(L92))))</f>
        <v/>
      </c>
      <c r="P92" s="26"/>
      <c r="Q92" s="26"/>
      <c r="R92" s="26"/>
    </row>
    <row r="93" spans="1:18">
      <c r="A93" s="26"/>
      <c r="B93" s="26" t="str">
        <f ca="1">IF(E93="","",IF(OR(F93="已完成",F93="已取消",F93="已移交"),"4 暂不关注",IF(OR(R93="强制立即",A93="▶",AND(ISNUMBER(N93),IF(MOD(N93,1)=0,INT(N93)+下拉列表!$H$5,N93)&lt;=$B$1),AND(F93&lt;&gt;"等待他人",OR(COUNTIF(Q93,"*止损*")&gt;0,COUNTIF(Q93,"*阻塞*")&gt;0))),"1 立即处理",IF(OR(R93="强制今日",AND(F93="等待他人",M93=""),AND(ISNUMBER(M93),IF(MOD(M93,1)=0,INT(M93)+下拉列表!$H$2,M93)&lt;=$B$1),AND(ISNUMBER(N93),INT(IF(MOD(N93,1)=0,INT(N93)+下拉列表!$H$5,N93))=INT($B$1),IF(MOD(N93,1)=0,INT(N93)+下拉列表!$H$5,N93)&gt;$B$1),AND(ISNUMBER(N93),INT(IF(MOD(N93,1)=0,INT(N93)+下拉列表!$H$5,N93))=INT($B$1)+1),AND(COUNTIF(Q93,"*领导DDL*")&gt;0,ISNUMBER(N93),INT(IF(MOD(N93,1)=0,INT(N93)+下拉列表!$H$5,N93))&lt;=INT($B$1)+2)),"2 今日处理",IF(AND(F93="等待他人",ISNUMBER(M93),IF(MOD(M93,1)=0,INT(M93)+下拉列表!$H$2,M93)&gt;$B$1),"4 暂不关注","3 近期关注")))))</f>
        <v/>
      </c>
      <c r="C93" s="26"/>
      <c r="D93" s="26"/>
      <c r="E93" s="26"/>
      <c r="F93" s="26"/>
      <c r="G93" s="26"/>
      <c r="H93" s="26"/>
      <c r="I93" s="26"/>
      <c r="J93" s="26"/>
      <c r="K93" s="32"/>
      <c r="L93" s="32"/>
      <c r="M93" s="33"/>
      <c r="N93" s="33"/>
      <c r="O93" s="34" t="str">
        <f ca="1">IF(E93="","",IF(L93="","",MAX(0,INT($B$1)-INT(L93))))</f>
        <v/>
      </c>
      <c r="P93" s="26"/>
      <c r="Q93" s="26"/>
      <c r="R93" s="26"/>
    </row>
    <row r="94" spans="1:18">
      <c r="A94" s="26"/>
      <c r="B94" s="26" t="str">
        <f ca="1">IF(E94="","",IF(OR(F94="已完成",F94="已取消",F94="已移交"),"4 暂不关注",IF(OR(R94="强制立即",A94="▶",AND(ISNUMBER(N94),IF(MOD(N94,1)=0,INT(N94)+下拉列表!$H$5,N94)&lt;=$B$1),AND(F94&lt;&gt;"等待他人",OR(COUNTIF(Q94,"*止损*")&gt;0,COUNTIF(Q94,"*阻塞*")&gt;0))),"1 立即处理",IF(OR(R94="强制今日",AND(F94="等待他人",M94=""),AND(ISNUMBER(M94),IF(MOD(M94,1)=0,INT(M94)+下拉列表!$H$2,M94)&lt;=$B$1),AND(ISNUMBER(N94),INT(IF(MOD(N94,1)=0,INT(N94)+下拉列表!$H$5,N94))=INT($B$1),IF(MOD(N94,1)=0,INT(N94)+下拉列表!$H$5,N94)&gt;$B$1),AND(ISNUMBER(N94),INT(IF(MOD(N94,1)=0,INT(N94)+下拉列表!$H$5,N94))=INT($B$1)+1),AND(COUNTIF(Q94,"*领导DDL*")&gt;0,ISNUMBER(N94),INT(IF(MOD(N94,1)=0,INT(N94)+下拉列表!$H$5,N94))&lt;=INT($B$1)+2)),"2 今日处理",IF(AND(F94="等待他人",ISNUMBER(M94),IF(MOD(M94,1)=0,INT(M94)+下拉列表!$H$2,M94)&gt;$B$1),"4 暂不关注","3 近期关注")))))</f>
        <v/>
      </c>
      <c r="C94" s="26"/>
      <c r="D94" s="26"/>
      <c r="E94" s="26"/>
      <c r="F94" s="26"/>
      <c r="G94" s="26"/>
      <c r="H94" s="26"/>
      <c r="I94" s="26"/>
      <c r="J94" s="26"/>
      <c r="K94" s="32"/>
      <c r="L94" s="32"/>
      <c r="M94" s="33"/>
      <c r="N94" s="33"/>
      <c r="O94" s="34" t="str">
        <f ca="1">IF(E94="","",IF(L94="","",MAX(0,INT($B$1)-INT(L94))))</f>
        <v/>
      </c>
      <c r="P94" s="26"/>
      <c r="Q94" s="26"/>
      <c r="R94" s="26"/>
    </row>
    <row r="95" spans="1:18">
      <c r="A95" s="26"/>
      <c r="B95" s="26" t="str">
        <f ca="1">IF(E95="","",IF(OR(F95="已完成",F95="已取消",F95="已移交"),"4 暂不关注",IF(OR(R95="强制立即",A95="▶",AND(ISNUMBER(N95),IF(MOD(N95,1)=0,INT(N95)+下拉列表!$H$5,N95)&lt;=$B$1),AND(F95&lt;&gt;"等待他人",OR(COUNTIF(Q95,"*止损*")&gt;0,COUNTIF(Q95,"*阻塞*")&gt;0))),"1 立即处理",IF(OR(R95="强制今日",AND(F95="等待他人",M95=""),AND(ISNUMBER(M95),IF(MOD(M95,1)=0,INT(M95)+下拉列表!$H$2,M95)&lt;=$B$1),AND(ISNUMBER(N95),INT(IF(MOD(N95,1)=0,INT(N95)+下拉列表!$H$5,N95))=INT($B$1),IF(MOD(N95,1)=0,INT(N95)+下拉列表!$H$5,N95)&gt;$B$1),AND(ISNUMBER(N95),INT(IF(MOD(N95,1)=0,INT(N95)+下拉列表!$H$5,N95))=INT($B$1)+1),AND(COUNTIF(Q95,"*领导DDL*")&gt;0,ISNUMBER(N95),INT(IF(MOD(N95,1)=0,INT(N95)+下拉列表!$H$5,N95))&lt;=INT($B$1)+2)),"2 今日处理",IF(AND(F95="等待他人",ISNUMBER(M95),IF(MOD(M95,1)=0,INT(M95)+下拉列表!$H$2,M95)&gt;$B$1),"4 暂不关注","3 近期关注")))))</f>
        <v/>
      </c>
      <c r="C95" s="26"/>
      <c r="D95" s="26"/>
      <c r="E95" s="26"/>
      <c r="F95" s="26"/>
      <c r="G95" s="26"/>
      <c r="H95" s="26"/>
      <c r="I95" s="26"/>
      <c r="J95" s="26"/>
      <c r="K95" s="32"/>
      <c r="L95" s="32"/>
      <c r="M95" s="33"/>
      <c r="N95" s="33"/>
      <c r="O95" s="34" t="str">
        <f ca="1">IF(E95="","",IF(L95="","",MAX(0,INT($B$1)-INT(L95))))</f>
        <v/>
      </c>
      <c r="P95" s="26"/>
      <c r="Q95" s="26"/>
      <c r="R95" s="26"/>
    </row>
    <row r="96" spans="1:18">
      <c r="A96" s="26"/>
      <c r="B96" s="26" t="str">
        <f ca="1">IF(E96="","",IF(OR(F96="已完成",F96="已取消",F96="已移交"),"4 暂不关注",IF(OR(R96="强制立即",A96="▶",AND(ISNUMBER(N96),IF(MOD(N96,1)=0,INT(N96)+下拉列表!$H$5,N96)&lt;=$B$1),AND(F96&lt;&gt;"等待他人",OR(COUNTIF(Q96,"*止损*")&gt;0,COUNTIF(Q96,"*阻塞*")&gt;0))),"1 立即处理",IF(OR(R96="强制今日",AND(F96="等待他人",M96=""),AND(ISNUMBER(M96),IF(MOD(M96,1)=0,INT(M96)+下拉列表!$H$2,M96)&lt;=$B$1),AND(ISNUMBER(N96),INT(IF(MOD(N96,1)=0,INT(N96)+下拉列表!$H$5,N96))=INT($B$1),IF(MOD(N96,1)=0,INT(N96)+下拉列表!$H$5,N96)&gt;$B$1),AND(ISNUMBER(N96),INT(IF(MOD(N96,1)=0,INT(N96)+下拉列表!$H$5,N96))=INT($B$1)+1),AND(COUNTIF(Q96,"*领导DDL*")&gt;0,ISNUMBER(N96),INT(IF(MOD(N96,1)=0,INT(N96)+下拉列表!$H$5,N96))&lt;=INT($B$1)+2)),"2 今日处理",IF(AND(F96="等待他人",ISNUMBER(M96),IF(MOD(M96,1)=0,INT(M96)+下拉列表!$H$2,M96)&gt;$B$1),"4 暂不关注","3 近期关注")))))</f>
        <v/>
      </c>
      <c r="C96" s="26"/>
      <c r="D96" s="26"/>
      <c r="E96" s="26"/>
      <c r="F96" s="26"/>
      <c r="G96" s="26"/>
      <c r="H96" s="26"/>
      <c r="I96" s="26"/>
      <c r="J96" s="26"/>
      <c r="K96" s="32"/>
      <c r="L96" s="32"/>
      <c r="M96" s="33"/>
      <c r="N96" s="33"/>
      <c r="O96" s="34" t="str">
        <f ca="1">IF(E96="","",IF(L96="","",MAX(0,INT($B$1)-INT(L96))))</f>
        <v/>
      </c>
      <c r="P96" s="26"/>
      <c r="Q96" s="26"/>
      <c r="R96" s="26"/>
    </row>
    <row r="97" spans="1:18">
      <c r="A97" s="26"/>
      <c r="B97" s="26" t="str">
        <f ca="1">IF(E97="","",IF(OR(F97="已完成",F97="已取消",F97="已移交"),"4 暂不关注",IF(OR(R97="强制立即",A97="▶",AND(ISNUMBER(N97),IF(MOD(N97,1)=0,INT(N97)+下拉列表!$H$5,N97)&lt;=$B$1),AND(F97&lt;&gt;"等待他人",OR(COUNTIF(Q97,"*止损*")&gt;0,COUNTIF(Q97,"*阻塞*")&gt;0))),"1 立即处理",IF(OR(R97="强制今日",AND(F97="等待他人",M97=""),AND(ISNUMBER(M97),IF(MOD(M97,1)=0,INT(M97)+下拉列表!$H$2,M97)&lt;=$B$1),AND(ISNUMBER(N97),INT(IF(MOD(N97,1)=0,INT(N97)+下拉列表!$H$5,N97))=INT($B$1),IF(MOD(N97,1)=0,INT(N97)+下拉列表!$H$5,N97)&gt;$B$1),AND(ISNUMBER(N97),INT(IF(MOD(N97,1)=0,INT(N97)+下拉列表!$H$5,N97))=INT($B$1)+1),AND(COUNTIF(Q97,"*领导DDL*")&gt;0,ISNUMBER(N97),INT(IF(MOD(N97,1)=0,INT(N97)+下拉列表!$H$5,N97))&lt;=INT($B$1)+2)),"2 今日处理",IF(AND(F97="等待他人",ISNUMBER(M97),IF(MOD(M97,1)=0,INT(M97)+下拉列表!$H$2,M97)&gt;$B$1),"4 暂不关注","3 近期关注")))))</f>
        <v/>
      </c>
      <c r="C97" s="26"/>
      <c r="D97" s="26"/>
      <c r="E97" s="26"/>
      <c r="F97" s="26"/>
      <c r="G97" s="26"/>
      <c r="H97" s="26"/>
      <c r="I97" s="26"/>
      <c r="J97" s="26"/>
      <c r="K97" s="32"/>
      <c r="L97" s="32"/>
      <c r="M97" s="33"/>
      <c r="N97" s="33"/>
      <c r="O97" s="34" t="str">
        <f ca="1">IF(E97="","",IF(L97="","",MAX(0,INT($B$1)-INT(L97))))</f>
        <v/>
      </c>
      <c r="P97" s="26"/>
      <c r="Q97" s="26"/>
      <c r="R97" s="26"/>
    </row>
    <row r="98" spans="1:18">
      <c r="A98" s="26"/>
      <c r="B98" s="26" t="str">
        <f ca="1">IF(E98="","",IF(OR(F98="已完成",F98="已取消",F98="已移交"),"4 暂不关注",IF(OR(R98="强制立即",A98="▶",AND(ISNUMBER(N98),IF(MOD(N98,1)=0,INT(N98)+下拉列表!$H$5,N98)&lt;=$B$1),AND(F98&lt;&gt;"等待他人",OR(COUNTIF(Q98,"*止损*")&gt;0,COUNTIF(Q98,"*阻塞*")&gt;0))),"1 立即处理",IF(OR(R98="强制今日",AND(F98="等待他人",M98=""),AND(ISNUMBER(M98),IF(MOD(M98,1)=0,INT(M98)+下拉列表!$H$2,M98)&lt;=$B$1),AND(ISNUMBER(N98),INT(IF(MOD(N98,1)=0,INT(N98)+下拉列表!$H$5,N98))=INT($B$1),IF(MOD(N98,1)=0,INT(N98)+下拉列表!$H$5,N98)&gt;$B$1),AND(ISNUMBER(N98),INT(IF(MOD(N98,1)=0,INT(N98)+下拉列表!$H$5,N98))=INT($B$1)+1),AND(COUNTIF(Q98,"*领导DDL*")&gt;0,ISNUMBER(N98),INT(IF(MOD(N98,1)=0,INT(N98)+下拉列表!$H$5,N98))&lt;=INT($B$1)+2)),"2 今日处理",IF(AND(F98="等待他人",ISNUMBER(M98),IF(MOD(M98,1)=0,INT(M98)+下拉列表!$H$2,M98)&gt;$B$1),"4 暂不关注","3 近期关注")))))</f>
        <v/>
      </c>
      <c r="C98" s="26"/>
      <c r="D98" s="26"/>
      <c r="E98" s="26"/>
      <c r="F98" s="26"/>
      <c r="G98" s="26"/>
      <c r="H98" s="26"/>
      <c r="I98" s="26"/>
      <c r="J98" s="26"/>
      <c r="K98" s="32"/>
      <c r="L98" s="32"/>
      <c r="M98" s="33"/>
      <c r="N98" s="33"/>
      <c r="O98" s="34" t="str">
        <f ca="1">IF(E98="","",IF(L98="","",MAX(0,INT($B$1)-INT(L98))))</f>
        <v/>
      </c>
      <c r="P98" s="26"/>
      <c r="Q98" s="26"/>
      <c r="R98" s="26"/>
    </row>
    <row r="99" spans="1:18">
      <c r="A99" s="26"/>
      <c r="B99" s="26" t="str">
        <f ca="1">IF(E99="","",IF(OR(F99="已完成",F99="已取消",F99="已移交"),"4 暂不关注",IF(OR(R99="强制立即",A99="▶",AND(ISNUMBER(N99),IF(MOD(N99,1)=0,INT(N99)+下拉列表!$H$5,N99)&lt;=$B$1),AND(F99&lt;&gt;"等待他人",OR(COUNTIF(Q99,"*止损*")&gt;0,COUNTIF(Q99,"*阻塞*")&gt;0))),"1 立即处理",IF(OR(R99="强制今日",AND(F99="等待他人",M99=""),AND(ISNUMBER(M99),IF(MOD(M99,1)=0,INT(M99)+下拉列表!$H$2,M99)&lt;=$B$1),AND(ISNUMBER(N99),INT(IF(MOD(N99,1)=0,INT(N99)+下拉列表!$H$5,N99))=INT($B$1),IF(MOD(N99,1)=0,INT(N99)+下拉列表!$H$5,N99)&gt;$B$1),AND(ISNUMBER(N99),INT(IF(MOD(N99,1)=0,INT(N99)+下拉列表!$H$5,N99))=INT($B$1)+1),AND(COUNTIF(Q99,"*领导DDL*")&gt;0,ISNUMBER(N99),INT(IF(MOD(N99,1)=0,INT(N99)+下拉列表!$H$5,N99))&lt;=INT($B$1)+2)),"2 今日处理",IF(AND(F99="等待他人",ISNUMBER(M99),IF(MOD(M99,1)=0,INT(M99)+下拉列表!$H$2,M99)&gt;$B$1),"4 暂不关注","3 近期关注")))))</f>
        <v/>
      </c>
      <c r="C99" s="26"/>
      <c r="D99" s="26"/>
      <c r="E99" s="26"/>
      <c r="F99" s="26"/>
      <c r="G99" s="26"/>
      <c r="H99" s="26"/>
      <c r="I99" s="26"/>
      <c r="J99" s="26"/>
      <c r="K99" s="32"/>
      <c r="L99" s="32"/>
      <c r="M99" s="33"/>
      <c r="N99" s="33"/>
      <c r="O99" s="34" t="str">
        <f ca="1">IF(E99="","",IF(L99="","",MAX(0,INT($B$1)-INT(L99))))</f>
        <v/>
      </c>
      <c r="P99" s="26"/>
      <c r="Q99" s="26"/>
      <c r="R99" s="26"/>
    </row>
    <row r="100" spans="1:18">
      <c r="A100" s="26"/>
      <c r="B100" s="26" t="str">
        <f ca="1">IF(E100="","",IF(OR(F100="已完成",F100="已取消",F100="已移交"),"4 暂不关注",IF(OR(R100="强制立即",A100="▶",AND(ISNUMBER(N100),IF(MOD(N100,1)=0,INT(N100)+下拉列表!$H$5,N100)&lt;=$B$1),AND(F100&lt;&gt;"等待他人",OR(COUNTIF(Q100,"*止损*")&gt;0,COUNTIF(Q100,"*阻塞*")&gt;0))),"1 立即处理",IF(OR(R100="强制今日",AND(F100="等待他人",M100=""),AND(ISNUMBER(M100),IF(MOD(M100,1)=0,INT(M100)+下拉列表!$H$2,M100)&lt;=$B$1),AND(ISNUMBER(N100),INT(IF(MOD(N100,1)=0,INT(N100)+下拉列表!$H$5,N100))=INT($B$1),IF(MOD(N100,1)=0,INT(N100)+下拉列表!$H$5,N100)&gt;$B$1),AND(ISNUMBER(N100),INT(IF(MOD(N100,1)=0,INT(N100)+下拉列表!$H$5,N100))=INT($B$1)+1),AND(COUNTIF(Q100,"*领导DDL*")&gt;0,ISNUMBER(N100),INT(IF(MOD(N100,1)=0,INT(N100)+下拉列表!$H$5,N100))&lt;=INT($B$1)+2)),"2 今日处理",IF(AND(F100="等待他人",ISNUMBER(M100),IF(MOD(M100,1)=0,INT(M100)+下拉列表!$H$2,M100)&gt;$B$1),"4 暂不关注","3 近期关注")))))</f>
        <v/>
      </c>
      <c r="C100" s="26"/>
      <c r="D100" s="26"/>
      <c r="E100" s="26"/>
      <c r="F100" s="26"/>
      <c r="G100" s="26"/>
      <c r="H100" s="26"/>
      <c r="I100" s="26"/>
      <c r="J100" s="26"/>
      <c r="K100" s="32"/>
      <c r="L100" s="32"/>
      <c r="M100" s="33"/>
      <c r="N100" s="33"/>
      <c r="O100" s="34" t="str">
        <f ca="1">IF(E100="","",IF(L100="","",MAX(0,INT($B$1)-INT(L100))))</f>
        <v/>
      </c>
      <c r="P100" s="26"/>
      <c r="Q100" s="26"/>
      <c r="R100" s="26"/>
    </row>
    <row r="101" spans="1:18">
      <c r="A101" s="26"/>
      <c r="B101" s="26" t="str">
        <f ca="1">IF(E101="","",IF(OR(F101="已完成",F101="已取消",F101="已移交"),"4 暂不关注",IF(OR(R101="强制立即",A101="▶",AND(ISNUMBER(N101),IF(MOD(N101,1)=0,INT(N101)+下拉列表!$H$5,N101)&lt;=$B$1),AND(F101&lt;&gt;"等待他人",OR(COUNTIF(Q101,"*止损*")&gt;0,COUNTIF(Q101,"*阻塞*")&gt;0))),"1 立即处理",IF(OR(R101="强制今日",AND(F101="等待他人",M101=""),AND(ISNUMBER(M101),IF(MOD(M101,1)=0,INT(M101)+下拉列表!$H$2,M101)&lt;=$B$1),AND(ISNUMBER(N101),INT(IF(MOD(N101,1)=0,INT(N101)+下拉列表!$H$5,N101))=INT($B$1),IF(MOD(N101,1)=0,INT(N101)+下拉列表!$H$5,N101)&gt;$B$1),AND(ISNUMBER(N101),INT(IF(MOD(N101,1)=0,INT(N101)+下拉列表!$H$5,N101))=INT($B$1)+1),AND(COUNTIF(Q101,"*领导DDL*")&gt;0,ISNUMBER(N101),INT(IF(MOD(N101,1)=0,INT(N101)+下拉列表!$H$5,N101))&lt;=INT($B$1)+2)),"2 今日处理",IF(AND(F101="等待他人",ISNUMBER(M101),IF(MOD(M101,1)=0,INT(M101)+下拉列表!$H$2,M101)&gt;$B$1),"4 暂不关注","3 近期关注")))))</f>
        <v/>
      </c>
      <c r="C101" s="26"/>
      <c r="D101" s="26"/>
      <c r="E101" s="26"/>
      <c r="F101" s="26"/>
      <c r="G101" s="26"/>
      <c r="H101" s="26"/>
      <c r="I101" s="26"/>
      <c r="J101" s="26"/>
      <c r="K101" s="32"/>
      <c r="L101" s="32"/>
      <c r="M101" s="33"/>
      <c r="N101" s="33"/>
      <c r="O101" s="34" t="str">
        <f ca="1">IF(E101="","",IF(L101="","",MAX(0,INT($B$1)-INT(L101))))</f>
        <v/>
      </c>
      <c r="P101" s="26"/>
      <c r="Q101" s="26"/>
      <c r="R101" s="26"/>
    </row>
    <row r="102" spans="1:18">
      <c r="A102" s="26"/>
      <c r="B102" s="26" t="str">
        <f ca="1">IF(E102="","",IF(OR(F102="已完成",F102="已取消",F102="已移交"),"4 暂不关注",IF(OR(R102="强制立即",A102="▶",AND(ISNUMBER(N102),IF(MOD(N102,1)=0,INT(N102)+下拉列表!$H$5,N102)&lt;=$B$1),AND(F102&lt;&gt;"等待他人",OR(COUNTIF(Q102,"*止损*")&gt;0,COUNTIF(Q102,"*阻塞*")&gt;0))),"1 立即处理",IF(OR(R102="强制今日",AND(F102="等待他人",M102=""),AND(ISNUMBER(M102),IF(MOD(M102,1)=0,INT(M102)+下拉列表!$H$2,M102)&lt;=$B$1),AND(ISNUMBER(N102),INT(IF(MOD(N102,1)=0,INT(N102)+下拉列表!$H$5,N102))=INT($B$1),IF(MOD(N102,1)=0,INT(N102)+下拉列表!$H$5,N102)&gt;$B$1),AND(ISNUMBER(N102),INT(IF(MOD(N102,1)=0,INT(N102)+下拉列表!$H$5,N102))=INT($B$1)+1),AND(COUNTIF(Q102,"*领导DDL*")&gt;0,ISNUMBER(N102),INT(IF(MOD(N102,1)=0,INT(N102)+下拉列表!$H$5,N102))&lt;=INT($B$1)+2)),"2 今日处理",IF(AND(F102="等待他人",ISNUMBER(M102),IF(MOD(M102,1)=0,INT(M102)+下拉列表!$H$2,M102)&gt;$B$1),"4 暂不关注","3 近期关注")))))</f>
        <v/>
      </c>
      <c r="C102" s="26"/>
      <c r="D102" s="26"/>
      <c r="E102" s="26"/>
      <c r="F102" s="26"/>
      <c r="G102" s="26"/>
      <c r="H102" s="26"/>
      <c r="I102" s="26"/>
      <c r="J102" s="26"/>
      <c r="K102" s="32"/>
      <c r="L102" s="32"/>
      <c r="M102" s="33"/>
      <c r="N102" s="33"/>
      <c r="O102" s="34" t="str">
        <f ca="1">IF(E102="","",IF(L102="","",MAX(0,INT($B$1)-INT(L102))))</f>
        <v/>
      </c>
      <c r="P102" s="26"/>
      <c r="Q102" s="26"/>
      <c r="R102" s="26"/>
    </row>
    <row r="103" spans="1:18">
      <c r="A103" s="26"/>
      <c r="B103" s="26" t="str">
        <f ca="1">IF(E103="","",IF(OR(F103="已完成",F103="已取消",F103="已移交"),"4 暂不关注",IF(OR(R103="强制立即",A103="▶",AND(ISNUMBER(N103),IF(MOD(N103,1)=0,INT(N103)+下拉列表!$H$5,N103)&lt;=$B$1),AND(F103&lt;&gt;"等待他人",OR(COUNTIF(Q103,"*止损*")&gt;0,COUNTIF(Q103,"*阻塞*")&gt;0))),"1 立即处理",IF(OR(R103="强制今日",AND(F103="等待他人",M103=""),AND(ISNUMBER(M103),IF(MOD(M103,1)=0,INT(M103)+下拉列表!$H$2,M103)&lt;=$B$1),AND(ISNUMBER(N103),INT(IF(MOD(N103,1)=0,INT(N103)+下拉列表!$H$5,N103))=INT($B$1),IF(MOD(N103,1)=0,INT(N103)+下拉列表!$H$5,N103)&gt;$B$1),AND(ISNUMBER(N103),INT(IF(MOD(N103,1)=0,INT(N103)+下拉列表!$H$5,N103))=INT($B$1)+1),AND(COUNTIF(Q103,"*领导DDL*")&gt;0,ISNUMBER(N103),INT(IF(MOD(N103,1)=0,INT(N103)+下拉列表!$H$5,N103))&lt;=INT($B$1)+2)),"2 今日处理",IF(AND(F103="等待他人",ISNUMBER(M103),IF(MOD(M103,1)=0,INT(M103)+下拉列表!$H$2,M103)&gt;$B$1),"4 暂不关注","3 近期关注")))))</f>
        <v/>
      </c>
      <c r="C103" s="26"/>
      <c r="D103" s="26"/>
      <c r="E103" s="26"/>
      <c r="F103" s="26"/>
      <c r="G103" s="26"/>
      <c r="H103" s="26"/>
      <c r="I103" s="26"/>
      <c r="J103" s="26"/>
      <c r="K103" s="32"/>
      <c r="L103" s="32"/>
      <c r="M103" s="33"/>
      <c r="N103" s="33"/>
      <c r="O103" s="34" t="str">
        <f ca="1">IF(E103="","",IF(L103="","",MAX(0,INT($B$1)-INT(L103))))</f>
        <v/>
      </c>
      <c r="P103" s="26"/>
      <c r="Q103" s="26"/>
      <c r="R103" s="26"/>
    </row>
    <row r="104" spans="1:18">
      <c r="A104" s="26"/>
      <c r="B104" s="26" t="str">
        <f ca="1">IF(E104="","",IF(OR(F104="已完成",F104="已取消",F104="已移交"),"4 暂不关注",IF(OR(R104="强制立即",A104="▶",AND(ISNUMBER(N104),IF(MOD(N104,1)=0,INT(N104)+下拉列表!$H$5,N104)&lt;=$B$1),AND(F104&lt;&gt;"等待他人",OR(COUNTIF(Q104,"*止损*")&gt;0,COUNTIF(Q104,"*阻塞*")&gt;0))),"1 立即处理",IF(OR(R104="强制今日",AND(F104="等待他人",M104=""),AND(ISNUMBER(M104),IF(MOD(M104,1)=0,INT(M104)+下拉列表!$H$2,M104)&lt;=$B$1),AND(ISNUMBER(N104),INT(IF(MOD(N104,1)=0,INT(N104)+下拉列表!$H$5,N104))=INT($B$1),IF(MOD(N104,1)=0,INT(N104)+下拉列表!$H$5,N104)&gt;$B$1),AND(ISNUMBER(N104),INT(IF(MOD(N104,1)=0,INT(N104)+下拉列表!$H$5,N104))=INT($B$1)+1),AND(COUNTIF(Q104,"*领导DDL*")&gt;0,ISNUMBER(N104),INT(IF(MOD(N104,1)=0,INT(N104)+下拉列表!$H$5,N104))&lt;=INT($B$1)+2)),"2 今日处理",IF(AND(F104="等待他人",ISNUMBER(M104),IF(MOD(M104,1)=0,INT(M104)+下拉列表!$H$2,M104)&gt;$B$1),"4 暂不关注","3 近期关注")))))</f>
        <v/>
      </c>
      <c r="C104" s="26"/>
      <c r="D104" s="26"/>
      <c r="E104" s="26"/>
      <c r="F104" s="26"/>
      <c r="G104" s="26"/>
      <c r="H104" s="26"/>
      <c r="I104" s="26"/>
      <c r="J104" s="26"/>
      <c r="K104" s="32"/>
      <c r="L104" s="32"/>
      <c r="M104" s="33"/>
      <c r="N104" s="33"/>
      <c r="O104" s="34" t="str">
        <f ca="1">IF(E104="","",IF(L104="","",MAX(0,INT($B$1)-INT(L104))))</f>
        <v/>
      </c>
      <c r="P104" s="26"/>
      <c r="Q104" s="26"/>
      <c r="R104" s="26"/>
    </row>
    <row r="105" spans="1:18">
      <c r="A105" s="26"/>
      <c r="B105" s="26" t="str">
        <f ca="1">IF(E105="","",IF(OR(F105="已完成",F105="已取消",F105="已移交"),"4 暂不关注",IF(OR(R105="强制立即",A105="▶",AND(ISNUMBER(N105),IF(MOD(N105,1)=0,INT(N105)+下拉列表!$H$5,N105)&lt;=$B$1),AND(F105&lt;&gt;"等待他人",OR(COUNTIF(Q105,"*止损*")&gt;0,COUNTIF(Q105,"*阻塞*")&gt;0))),"1 立即处理",IF(OR(R105="强制今日",AND(F105="等待他人",M105=""),AND(ISNUMBER(M105),IF(MOD(M105,1)=0,INT(M105)+下拉列表!$H$2,M105)&lt;=$B$1),AND(ISNUMBER(N105),INT(IF(MOD(N105,1)=0,INT(N105)+下拉列表!$H$5,N105))=INT($B$1),IF(MOD(N105,1)=0,INT(N105)+下拉列表!$H$5,N105)&gt;$B$1),AND(ISNUMBER(N105),INT(IF(MOD(N105,1)=0,INT(N105)+下拉列表!$H$5,N105))=INT($B$1)+1),AND(COUNTIF(Q105,"*领导DDL*")&gt;0,ISNUMBER(N105),INT(IF(MOD(N105,1)=0,INT(N105)+下拉列表!$H$5,N105))&lt;=INT($B$1)+2)),"2 今日处理",IF(AND(F105="等待他人",ISNUMBER(M105),IF(MOD(M105,1)=0,INT(M105)+下拉列表!$H$2,M105)&gt;$B$1),"4 暂不关注","3 近期关注")))))</f>
        <v/>
      </c>
      <c r="C105" s="26"/>
      <c r="D105" s="26"/>
      <c r="E105" s="26"/>
      <c r="F105" s="26"/>
      <c r="G105" s="26"/>
      <c r="H105" s="26"/>
      <c r="I105" s="26"/>
      <c r="J105" s="26"/>
      <c r="K105" s="32"/>
      <c r="L105" s="32"/>
      <c r="M105" s="33"/>
      <c r="N105" s="33"/>
      <c r="O105" s="34" t="str">
        <f ca="1">IF(E105="","",IF(L105="","",MAX(0,INT($B$1)-INT(L105))))</f>
        <v/>
      </c>
      <c r="P105" s="26"/>
      <c r="Q105" s="26"/>
      <c r="R105" s="26"/>
    </row>
    <row r="106" spans="1:18">
      <c r="A106" s="26"/>
      <c r="B106" s="26" t="str">
        <f ca="1">IF(E106="","",IF(OR(F106="已完成",F106="已取消",F106="已移交"),"4 暂不关注",IF(OR(R106="强制立即",A106="▶",AND(ISNUMBER(N106),IF(MOD(N106,1)=0,INT(N106)+下拉列表!$H$5,N106)&lt;=$B$1),AND(F106&lt;&gt;"等待他人",OR(COUNTIF(Q106,"*止损*")&gt;0,COUNTIF(Q106,"*阻塞*")&gt;0))),"1 立即处理",IF(OR(R106="强制今日",AND(F106="等待他人",M106=""),AND(ISNUMBER(M106),IF(MOD(M106,1)=0,INT(M106)+下拉列表!$H$2,M106)&lt;=$B$1),AND(ISNUMBER(N106),INT(IF(MOD(N106,1)=0,INT(N106)+下拉列表!$H$5,N106))=INT($B$1),IF(MOD(N106,1)=0,INT(N106)+下拉列表!$H$5,N106)&gt;$B$1),AND(ISNUMBER(N106),INT(IF(MOD(N106,1)=0,INT(N106)+下拉列表!$H$5,N106))=INT($B$1)+1),AND(COUNTIF(Q106,"*领导DDL*")&gt;0,ISNUMBER(N106),INT(IF(MOD(N106,1)=0,INT(N106)+下拉列表!$H$5,N106))&lt;=INT($B$1)+2)),"2 今日处理",IF(AND(F106="等待他人",ISNUMBER(M106),IF(MOD(M106,1)=0,INT(M106)+下拉列表!$H$2,M106)&gt;$B$1),"4 暂不关注","3 近期关注")))))</f>
        <v/>
      </c>
      <c r="C106" s="26"/>
      <c r="D106" s="26"/>
      <c r="E106" s="26"/>
      <c r="F106" s="26"/>
      <c r="G106" s="26"/>
      <c r="H106" s="26"/>
      <c r="I106" s="26"/>
      <c r="J106" s="26"/>
      <c r="K106" s="32"/>
      <c r="L106" s="32"/>
      <c r="M106" s="33"/>
      <c r="N106" s="33"/>
      <c r="O106" s="34" t="str">
        <f ca="1">IF(E106="","",IF(L106="","",MAX(0,INT($B$1)-INT(L106))))</f>
        <v/>
      </c>
      <c r="P106" s="26"/>
      <c r="Q106" s="26"/>
      <c r="R106" s="26"/>
    </row>
    <row r="107" spans="1:18">
      <c r="A107" s="26"/>
      <c r="B107" s="26" t="str">
        <f ca="1">IF(E107="","",IF(OR(F107="已完成",F107="已取消",F107="已移交"),"4 暂不关注",IF(OR(R107="强制立即",A107="▶",AND(ISNUMBER(N107),IF(MOD(N107,1)=0,INT(N107)+下拉列表!$H$5,N107)&lt;=$B$1),AND(F107&lt;&gt;"等待他人",OR(COUNTIF(Q107,"*止损*")&gt;0,COUNTIF(Q107,"*阻塞*")&gt;0))),"1 立即处理",IF(OR(R107="强制今日",AND(F107="等待他人",M107=""),AND(ISNUMBER(M107),IF(MOD(M107,1)=0,INT(M107)+下拉列表!$H$2,M107)&lt;=$B$1),AND(ISNUMBER(N107),INT(IF(MOD(N107,1)=0,INT(N107)+下拉列表!$H$5,N107))=INT($B$1),IF(MOD(N107,1)=0,INT(N107)+下拉列表!$H$5,N107)&gt;$B$1),AND(ISNUMBER(N107),INT(IF(MOD(N107,1)=0,INT(N107)+下拉列表!$H$5,N107))=INT($B$1)+1),AND(COUNTIF(Q107,"*领导DDL*")&gt;0,ISNUMBER(N107),INT(IF(MOD(N107,1)=0,INT(N107)+下拉列表!$H$5,N107))&lt;=INT($B$1)+2)),"2 今日处理",IF(AND(F107="等待他人",ISNUMBER(M107),IF(MOD(M107,1)=0,INT(M107)+下拉列表!$H$2,M107)&gt;$B$1),"4 暂不关注","3 近期关注")))))</f>
        <v/>
      </c>
      <c r="C107" s="26"/>
      <c r="D107" s="26"/>
      <c r="E107" s="26"/>
      <c r="F107" s="26"/>
      <c r="G107" s="26"/>
      <c r="H107" s="26"/>
      <c r="I107" s="26"/>
      <c r="J107" s="26"/>
      <c r="K107" s="32"/>
      <c r="L107" s="32"/>
      <c r="M107" s="33"/>
      <c r="N107" s="33"/>
      <c r="O107" s="34" t="str">
        <f ca="1">IF(E107="","",IF(L107="","",MAX(0,INT($B$1)-INT(L107))))</f>
        <v/>
      </c>
      <c r="P107" s="26"/>
      <c r="Q107" s="26"/>
      <c r="R107" s="26"/>
    </row>
    <row r="108" spans="1:18">
      <c r="A108" s="26"/>
      <c r="B108" s="26" t="str">
        <f ca="1">IF(E108="","",IF(OR(F108="已完成",F108="已取消",F108="已移交"),"4 暂不关注",IF(OR(R108="强制立即",A108="▶",AND(ISNUMBER(N108),IF(MOD(N108,1)=0,INT(N108)+下拉列表!$H$5,N108)&lt;=$B$1),AND(F108&lt;&gt;"等待他人",OR(COUNTIF(Q108,"*止损*")&gt;0,COUNTIF(Q108,"*阻塞*")&gt;0))),"1 立即处理",IF(OR(R108="强制今日",AND(F108="等待他人",M108=""),AND(ISNUMBER(M108),IF(MOD(M108,1)=0,INT(M108)+下拉列表!$H$2,M108)&lt;=$B$1),AND(ISNUMBER(N108),INT(IF(MOD(N108,1)=0,INT(N108)+下拉列表!$H$5,N108))=INT($B$1),IF(MOD(N108,1)=0,INT(N108)+下拉列表!$H$5,N108)&gt;$B$1),AND(ISNUMBER(N108),INT(IF(MOD(N108,1)=0,INT(N108)+下拉列表!$H$5,N108))=INT($B$1)+1),AND(COUNTIF(Q108,"*领导DDL*")&gt;0,ISNUMBER(N108),INT(IF(MOD(N108,1)=0,INT(N108)+下拉列表!$H$5,N108))&lt;=INT($B$1)+2)),"2 今日处理",IF(AND(F108="等待他人",ISNUMBER(M108),IF(MOD(M108,1)=0,INT(M108)+下拉列表!$H$2,M108)&gt;$B$1),"4 暂不关注","3 近期关注")))))</f>
        <v/>
      </c>
      <c r="C108" s="26"/>
      <c r="D108" s="26"/>
      <c r="E108" s="26"/>
      <c r="F108" s="26"/>
      <c r="G108" s="26"/>
      <c r="H108" s="26"/>
      <c r="I108" s="26"/>
      <c r="J108" s="26"/>
      <c r="K108" s="32"/>
      <c r="L108" s="32"/>
      <c r="M108" s="33"/>
      <c r="N108" s="33"/>
      <c r="O108" s="34" t="str">
        <f ca="1">IF(E108="","",IF(L108="","",MAX(0,INT($B$1)-INT(L108))))</f>
        <v/>
      </c>
      <c r="P108" s="26"/>
      <c r="Q108" s="26"/>
      <c r="R108" s="26"/>
    </row>
    <row r="109" spans="1:18">
      <c r="A109" s="26"/>
      <c r="B109" s="26" t="str">
        <f ca="1">IF(E109="","",IF(OR(F109="已完成",F109="已取消",F109="已移交"),"4 暂不关注",IF(OR(R109="强制立即",A109="▶",AND(ISNUMBER(N109),IF(MOD(N109,1)=0,INT(N109)+下拉列表!$H$5,N109)&lt;=$B$1),AND(F109&lt;&gt;"等待他人",OR(COUNTIF(Q109,"*止损*")&gt;0,COUNTIF(Q109,"*阻塞*")&gt;0))),"1 立即处理",IF(OR(R109="强制今日",AND(F109="等待他人",M109=""),AND(ISNUMBER(M109),IF(MOD(M109,1)=0,INT(M109)+下拉列表!$H$2,M109)&lt;=$B$1),AND(ISNUMBER(N109),INT(IF(MOD(N109,1)=0,INT(N109)+下拉列表!$H$5,N109))=INT($B$1),IF(MOD(N109,1)=0,INT(N109)+下拉列表!$H$5,N109)&gt;$B$1),AND(ISNUMBER(N109),INT(IF(MOD(N109,1)=0,INT(N109)+下拉列表!$H$5,N109))=INT($B$1)+1),AND(COUNTIF(Q109,"*领导DDL*")&gt;0,ISNUMBER(N109),INT(IF(MOD(N109,1)=0,INT(N109)+下拉列表!$H$5,N109))&lt;=INT($B$1)+2)),"2 今日处理",IF(AND(F109="等待他人",ISNUMBER(M109),IF(MOD(M109,1)=0,INT(M109)+下拉列表!$H$2,M109)&gt;$B$1),"4 暂不关注","3 近期关注")))))</f>
        <v/>
      </c>
      <c r="C109" s="26"/>
      <c r="D109" s="26"/>
      <c r="E109" s="26"/>
      <c r="F109" s="26"/>
      <c r="G109" s="26"/>
      <c r="H109" s="26"/>
      <c r="I109" s="26"/>
      <c r="J109" s="26"/>
      <c r="K109" s="32"/>
      <c r="L109" s="32"/>
      <c r="M109" s="33"/>
      <c r="N109" s="33"/>
      <c r="O109" s="34" t="str">
        <f ca="1">IF(E109="","",IF(L109="","",MAX(0,INT($B$1)-INT(L109))))</f>
        <v/>
      </c>
      <c r="P109" s="26"/>
      <c r="Q109" s="26"/>
      <c r="R109" s="26"/>
    </row>
    <row r="110" spans="1:18">
      <c r="A110" s="26"/>
      <c r="B110" s="26" t="str">
        <f ca="1">IF(E110="","",IF(OR(F110="已完成",F110="已取消",F110="已移交"),"4 暂不关注",IF(OR(R110="强制立即",A110="▶",AND(ISNUMBER(N110),IF(MOD(N110,1)=0,INT(N110)+下拉列表!$H$5,N110)&lt;=$B$1),AND(F110&lt;&gt;"等待他人",OR(COUNTIF(Q110,"*止损*")&gt;0,COUNTIF(Q110,"*阻塞*")&gt;0))),"1 立即处理",IF(OR(R110="强制今日",AND(F110="等待他人",M110=""),AND(ISNUMBER(M110),IF(MOD(M110,1)=0,INT(M110)+下拉列表!$H$2,M110)&lt;=$B$1),AND(ISNUMBER(N110),INT(IF(MOD(N110,1)=0,INT(N110)+下拉列表!$H$5,N110))=INT($B$1),IF(MOD(N110,1)=0,INT(N110)+下拉列表!$H$5,N110)&gt;$B$1),AND(ISNUMBER(N110),INT(IF(MOD(N110,1)=0,INT(N110)+下拉列表!$H$5,N110))=INT($B$1)+1),AND(COUNTIF(Q110,"*领导DDL*")&gt;0,ISNUMBER(N110),INT(IF(MOD(N110,1)=0,INT(N110)+下拉列表!$H$5,N110))&lt;=INT($B$1)+2)),"2 今日处理",IF(AND(F110="等待他人",ISNUMBER(M110),IF(MOD(M110,1)=0,INT(M110)+下拉列表!$H$2,M110)&gt;$B$1),"4 暂不关注","3 近期关注")))))</f>
        <v/>
      </c>
      <c r="C110" s="26"/>
      <c r="D110" s="26"/>
      <c r="E110" s="26"/>
      <c r="F110" s="26"/>
      <c r="G110" s="26"/>
      <c r="H110" s="26"/>
      <c r="I110" s="26"/>
      <c r="J110" s="26"/>
      <c r="K110" s="32"/>
      <c r="L110" s="32"/>
      <c r="M110" s="33"/>
      <c r="N110" s="33"/>
      <c r="O110" s="34" t="str">
        <f ca="1">IF(E110="","",IF(L110="","",MAX(0,INT($B$1)-INT(L110))))</f>
        <v/>
      </c>
      <c r="P110" s="26"/>
      <c r="Q110" s="26"/>
      <c r="R110" s="26"/>
    </row>
    <row r="111" spans="1:18">
      <c r="A111" s="26"/>
      <c r="B111" s="26" t="str">
        <f ca="1">IF(E111="","",IF(OR(F111="已完成",F111="已取消",F111="已移交"),"4 暂不关注",IF(OR(R111="强制立即",A111="▶",AND(ISNUMBER(N111),IF(MOD(N111,1)=0,INT(N111)+下拉列表!$H$5,N111)&lt;=$B$1),AND(F111&lt;&gt;"等待他人",OR(COUNTIF(Q111,"*止损*")&gt;0,COUNTIF(Q111,"*阻塞*")&gt;0))),"1 立即处理",IF(OR(R111="强制今日",AND(F111="等待他人",M111=""),AND(ISNUMBER(M111),IF(MOD(M111,1)=0,INT(M111)+下拉列表!$H$2,M111)&lt;=$B$1),AND(ISNUMBER(N111),INT(IF(MOD(N111,1)=0,INT(N111)+下拉列表!$H$5,N111))=INT($B$1),IF(MOD(N111,1)=0,INT(N111)+下拉列表!$H$5,N111)&gt;$B$1),AND(ISNUMBER(N111),INT(IF(MOD(N111,1)=0,INT(N111)+下拉列表!$H$5,N111))=INT($B$1)+1),AND(COUNTIF(Q111,"*领导DDL*")&gt;0,ISNUMBER(N111),INT(IF(MOD(N111,1)=0,INT(N111)+下拉列表!$H$5,N111))&lt;=INT($B$1)+2)),"2 今日处理",IF(AND(F111="等待他人",ISNUMBER(M111),IF(MOD(M111,1)=0,INT(M111)+下拉列表!$H$2,M111)&gt;$B$1),"4 暂不关注","3 近期关注")))))</f>
        <v/>
      </c>
      <c r="C111" s="26"/>
      <c r="D111" s="26"/>
      <c r="E111" s="26"/>
      <c r="F111" s="26"/>
      <c r="G111" s="26"/>
      <c r="H111" s="26"/>
      <c r="I111" s="26"/>
      <c r="J111" s="26"/>
      <c r="K111" s="32"/>
      <c r="L111" s="32"/>
      <c r="M111" s="33"/>
      <c r="N111" s="33"/>
      <c r="O111" s="34" t="str">
        <f ca="1">IF(E111="","",IF(L111="","",MAX(0,INT($B$1)-INT(L111))))</f>
        <v/>
      </c>
      <c r="P111" s="26"/>
      <c r="Q111" s="26"/>
      <c r="R111" s="26"/>
    </row>
    <row r="112" spans="1:18">
      <c r="A112" s="26"/>
      <c r="B112" s="26" t="str">
        <f ca="1">IF(E112="","",IF(OR(F112="已完成",F112="已取消",F112="已移交"),"4 暂不关注",IF(OR(R112="强制立即",A112="▶",AND(ISNUMBER(N112),IF(MOD(N112,1)=0,INT(N112)+下拉列表!$H$5,N112)&lt;=$B$1),AND(F112&lt;&gt;"等待他人",OR(COUNTIF(Q112,"*止损*")&gt;0,COUNTIF(Q112,"*阻塞*")&gt;0))),"1 立即处理",IF(OR(R112="强制今日",AND(F112="等待他人",M112=""),AND(ISNUMBER(M112),IF(MOD(M112,1)=0,INT(M112)+下拉列表!$H$2,M112)&lt;=$B$1),AND(ISNUMBER(N112),INT(IF(MOD(N112,1)=0,INT(N112)+下拉列表!$H$5,N112))=INT($B$1),IF(MOD(N112,1)=0,INT(N112)+下拉列表!$H$5,N112)&gt;$B$1),AND(ISNUMBER(N112),INT(IF(MOD(N112,1)=0,INT(N112)+下拉列表!$H$5,N112))=INT($B$1)+1),AND(COUNTIF(Q112,"*领导DDL*")&gt;0,ISNUMBER(N112),INT(IF(MOD(N112,1)=0,INT(N112)+下拉列表!$H$5,N112))&lt;=INT($B$1)+2)),"2 今日处理",IF(AND(F112="等待他人",ISNUMBER(M112),IF(MOD(M112,1)=0,INT(M112)+下拉列表!$H$2,M112)&gt;$B$1),"4 暂不关注","3 近期关注")))))</f>
        <v/>
      </c>
      <c r="C112" s="26"/>
      <c r="D112" s="26"/>
      <c r="E112" s="26"/>
      <c r="F112" s="26"/>
      <c r="G112" s="26"/>
      <c r="H112" s="26"/>
      <c r="I112" s="26"/>
      <c r="J112" s="26"/>
      <c r="K112" s="32"/>
      <c r="L112" s="32"/>
      <c r="M112" s="33"/>
      <c r="N112" s="33"/>
      <c r="O112" s="34" t="str">
        <f ca="1">IF(E112="","",IF(L112="","",MAX(0,INT($B$1)-INT(L112))))</f>
        <v/>
      </c>
      <c r="P112" s="26"/>
      <c r="Q112" s="26"/>
      <c r="R112" s="26"/>
    </row>
    <row r="113" spans="1:18">
      <c r="A113" s="26"/>
      <c r="B113" s="26" t="str">
        <f ca="1">IF(E113="","",IF(OR(F113="已完成",F113="已取消",F113="已移交"),"4 暂不关注",IF(OR(R113="强制立即",A113="▶",AND(ISNUMBER(N113),IF(MOD(N113,1)=0,INT(N113)+下拉列表!$H$5,N113)&lt;=$B$1),AND(F113&lt;&gt;"等待他人",OR(COUNTIF(Q113,"*止损*")&gt;0,COUNTIF(Q113,"*阻塞*")&gt;0))),"1 立即处理",IF(OR(R113="强制今日",AND(F113="等待他人",M113=""),AND(ISNUMBER(M113),IF(MOD(M113,1)=0,INT(M113)+下拉列表!$H$2,M113)&lt;=$B$1),AND(ISNUMBER(N113),INT(IF(MOD(N113,1)=0,INT(N113)+下拉列表!$H$5,N113))=INT($B$1),IF(MOD(N113,1)=0,INT(N113)+下拉列表!$H$5,N113)&gt;$B$1),AND(ISNUMBER(N113),INT(IF(MOD(N113,1)=0,INT(N113)+下拉列表!$H$5,N113))=INT($B$1)+1),AND(COUNTIF(Q113,"*领导DDL*")&gt;0,ISNUMBER(N113),INT(IF(MOD(N113,1)=0,INT(N113)+下拉列表!$H$5,N113))&lt;=INT($B$1)+2)),"2 今日处理",IF(AND(F113="等待他人",ISNUMBER(M113),IF(MOD(M113,1)=0,INT(M113)+下拉列表!$H$2,M113)&gt;$B$1),"4 暂不关注","3 近期关注")))))</f>
        <v/>
      </c>
      <c r="C113" s="26"/>
      <c r="D113" s="26"/>
      <c r="E113" s="26"/>
      <c r="F113" s="26"/>
      <c r="G113" s="26"/>
      <c r="H113" s="26"/>
      <c r="I113" s="26"/>
      <c r="J113" s="26"/>
      <c r="K113" s="32"/>
      <c r="L113" s="32"/>
      <c r="M113" s="33"/>
      <c r="N113" s="33"/>
      <c r="O113" s="34" t="str">
        <f ca="1">IF(E113="","",IF(L113="","",MAX(0,INT($B$1)-INT(L113))))</f>
        <v/>
      </c>
      <c r="P113" s="26"/>
      <c r="Q113" s="26"/>
      <c r="R113" s="26"/>
    </row>
    <row r="114" spans="1:18">
      <c r="A114" s="26"/>
      <c r="B114" s="26" t="str">
        <f ca="1">IF(E114="","",IF(OR(F114="已完成",F114="已取消",F114="已移交"),"4 暂不关注",IF(OR(R114="强制立即",A114="▶",AND(ISNUMBER(N114),IF(MOD(N114,1)=0,INT(N114)+下拉列表!$H$5,N114)&lt;=$B$1),AND(F114&lt;&gt;"等待他人",OR(COUNTIF(Q114,"*止损*")&gt;0,COUNTIF(Q114,"*阻塞*")&gt;0))),"1 立即处理",IF(OR(R114="强制今日",AND(F114="等待他人",M114=""),AND(ISNUMBER(M114),IF(MOD(M114,1)=0,INT(M114)+下拉列表!$H$2,M114)&lt;=$B$1),AND(ISNUMBER(N114),INT(IF(MOD(N114,1)=0,INT(N114)+下拉列表!$H$5,N114))=INT($B$1),IF(MOD(N114,1)=0,INT(N114)+下拉列表!$H$5,N114)&gt;$B$1),AND(ISNUMBER(N114),INT(IF(MOD(N114,1)=0,INT(N114)+下拉列表!$H$5,N114))=INT($B$1)+1),AND(COUNTIF(Q114,"*领导DDL*")&gt;0,ISNUMBER(N114),INT(IF(MOD(N114,1)=0,INT(N114)+下拉列表!$H$5,N114))&lt;=INT($B$1)+2)),"2 今日处理",IF(AND(F114="等待他人",ISNUMBER(M114),IF(MOD(M114,1)=0,INT(M114)+下拉列表!$H$2,M114)&gt;$B$1),"4 暂不关注","3 近期关注")))))</f>
        <v/>
      </c>
      <c r="C114" s="26"/>
      <c r="D114" s="26"/>
      <c r="E114" s="26"/>
      <c r="F114" s="26"/>
      <c r="G114" s="26"/>
      <c r="H114" s="26"/>
      <c r="I114" s="26"/>
      <c r="J114" s="26"/>
      <c r="K114" s="32"/>
      <c r="L114" s="32"/>
      <c r="M114" s="33"/>
      <c r="N114" s="33"/>
      <c r="O114" s="34" t="str">
        <f ca="1">IF(E114="","",IF(L114="","",MAX(0,INT($B$1)-INT(L114))))</f>
        <v/>
      </c>
      <c r="P114" s="26"/>
      <c r="Q114" s="26"/>
      <c r="R114" s="26"/>
    </row>
    <row r="115" spans="1:18">
      <c r="A115" s="26"/>
      <c r="B115" s="26" t="str">
        <f ca="1">IF(E115="","",IF(OR(F115="已完成",F115="已取消",F115="已移交"),"4 暂不关注",IF(OR(R115="强制立即",A115="▶",AND(ISNUMBER(N115),IF(MOD(N115,1)=0,INT(N115)+下拉列表!$H$5,N115)&lt;=$B$1),AND(F115&lt;&gt;"等待他人",OR(COUNTIF(Q115,"*止损*")&gt;0,COUNTIF(Q115,"*阻塞*")&gt;0))),"1 立即处理",IF(OR(R115="强制今日",AND(F115="等待他人",M115=""),AND(ISNUMBER(M115),IF(MOD(M115,1)=0,INT(M115)+下拉列表!$H$2,M115)&lt;=$B$1),AND(ISNUMBER(N115),INT(IF(MOD(N115,1)=0,INT(N115)+下拉列表!$H$5,N115))=INT($B$1),IF(MOD(N115,1)=0,INT(N115)+下拉列表!$H$5,N115)&gt;$B$1),AND(ISNUMBER(N115),INT(IF(MOD(N115,1)=0,INT(N115)+下拉列表!$H$5,N115))=INT($B$1)+1),AND(COUNTIF(Q115,"*领导DDL*")&gt;0,ISNUMBER(N115),INT(IF(MOD(N115,1)=0,INT(N115)+下拉列表!$H$5,N115))&lt;=INT($B$1)+2)),"2 今日处理",IF(AND(F115="等待他人",ISNUMBER(M115),IF(MOD(M115,1)=0,INT(M115)+下拉列表!$H$2,M115)&gt;$B$1),"4 暂不关注","3 近期关注")))))</f>
        <v/>
      </c>
      <c r="C115" s="26"/>
      <c r="D115" s="26"/>
      <c r="E115" s="26"/>
      <c r="F115" s="26"/>
      <c r="G115" s="26"/>
      <c r="H115" s="26"/>
      <c r="I115" s="26"/>
      <c r="J115" s="26"/>
      <c r="K115" s="32"/>
      <c r="L115" s="32"/>
      <c r="M115" s="33"/>
      <c r="N115" s="33"/>
      <c r="O115" s="34" t="str">
        <f ca="1">IF(E115="","",IF(L115="","",MAX(0,INT($B$1)-INT(L115))))</f>
        <v/>
      </c>
      <c r="P115" s="26"/>
      <c r="Q115" s="26"/>
      <c r="R115" s="26"/>
    </row>
    <row r="116" spans="1:18">
      <c r="A116" s="26"/>
      <c r="B116" s="26" t="str">
        <f ca="1">IF(E116="","",IF(OR(F116="已完成",F116="已取消",F116="已移交"),"4 暂不关注",IF(OR(R116="强制立即",A116="▶",AND(ISNUMBER(N116),IF(MOD(N116,1)=0,INT(N116)+下拉列表!$H$5,N116)&lt;=$B$1),AND(F116&lt;&gt;"等待他人",OR(COUNTIF(Q116,"*止损*")&gt;0,COUNTIF(Q116,"*阻塞*")&gt;0))),"1 立即处理",IF(OR(R116="强制今日",AND(F116="等待他人",M116=""),AND(ISNUMBER(M116),IF(MOD(M116,1)=0,INT(M116)+下拉列表!$H$2,M116)&lt;=$B$1),AND(ISNUMBER(N116),INT(IF(MOD(N116,1)=0,INT(N116)+下拉列表!$H$5,N116))=INT($B$1),IF(MOD(N116,1)=0,INT(N116)+下拉列表!$H$5,N116)&gt;$B$1),AND(ISNUMBER(N116),INT(IF(MOD(N116,1)=0,INT(N116)+下拉列表!$H$5,N116))=INT($B$1)+1),AND(COUNTIF(Q116,"*领导DDL*")&gt;0,ISNUMBER(N116),INT(IF(MOD(N116,1)=0,INT(N116)+下拉列表!$H$5,N116))&lt;=INT($B$1)+2)),"2 今日处理",IF(AND(F116="等待他人",ISNUMBER(M116),IF(MOD(M116,1)=0,INT(M116)+下拉列表!$H$2,M116)&gt;$B$1),"4 暂不关注","3 近期关注")))))</f>
        <v/>
      </c>
      <c r="C116" s="26"/>
      <c r="D116" s="26"/>
      <c r="E116" s="26"/>
      <c r="F116" s="26"/>
      <c r="G116" s="26"/>
      <c r="H116" s="26"/>
      <c r="I116" s="26"/>
      <c r="J116" s="26"/>
      <c r="K116" s="32"/>
      <c r="L116" s="32"/>
      <c r="M116" s="33"/>
      <c r="N116" s="33"/>
      <c r="O116" s="34" t="str">
        <f ca="1">IF(E116="","",IF(L116="","",MAX(0,INT($B$1)-INT(L116))))</f>
        <v/>
      </c>
      <c r="P116" s="26"/>
      <c r="Q116" s="26"/>
      <c r="R116" s="26"/>
    </row>
    <row r="117" spans="1:18">
      <c r="A117" s="26"/>
      <c r="B117" s="26" t="str">
        <f ca="1">IF(E117="","",IF(OR(F117="已完成",F117="已取消",F117="已移交"),"4 暂不关注",IF(OR(R117="强制立即",A117="▶",AND(ISNUMBER(N117),IF(MOD(N117,1)=0,INT(N117)+下拉列表!$H$5,N117)&lt;=$B$1),AND(F117&lt;&gt;"等待他人",OR(COUNTIF(Q117,"*止损*")&gt;0,COUNTIF(Q117,"*阻塞*")&gt;0))),"1 立即处理",IF(OR(R117="强制今日",AND(F117="等待他人",M117=""),AND(ISNUMBER(M117),IF(MOD(M117,1)=0,INT(M117)+下拉列表!$H$2,M117)&lt;=$B$1),AND(ISNUMBER(N117),INT(IF(MOD(N117,1)=0,INT(N117)+下拉列表!$H$5,N117))=INT($B$1),IF(MOD(N117,1)=0,INT(N117)+下拉列表!$H$5,N117)&gt;$B$1),AND(ISNUMBER(N117),INT(IF(MOD(N117,1)=0,INT(N117)+下拉列表!$H$5,N117))=INT($B$1)+1),AND(COUNTIF(Q117,"*领导DDL*")&gt;0,ISNUMBER(N117),INT(IF(MOD(N117,1)=0,INT(N117)+下拉列表!$H$5,N117))&lt;=INT($B$1)+2)),"2 今日处理",IF(AND(F117="等待他人",ISNUMBER(M117),IF(MOD(M117,1)=0,INT(M117)+下拉列表!$H$2,M117)&gt;$B$1),"4 暂不关注","3 近期关注")))))</f>
        <v/>
      </c>
      <c r="C117" s="26"/>
      <c r="D117" s="26"/>
      <c r="E117" s="26"/>
      <c r="F117" s="26"/>
      <c r="G117" s="26"/>
      <c r="H117" s="26"/>
      <c r="I117" s="26"/>
      <c r="J117" s="26"/>
      <c r="K117" s="32"/>
      <c r="L117" s="32"/>
      <c r="M117" s="33"/>
      <c r="N117" s="33"/>
      <c r="O117" s="34" t="str">
        <f ca="1">IF(E117="","",IF(L117="","",MAX(0,INT($B$1)-INT(L117))))</f>
        <v/>
      </c>
      <c r="P117" s="26"/>
      <c r="Q117" s="26"/>
      <c r="R117" s="26"/>
    </row>
    <row r="118" spans="1:18">
      <c r="A118" s="26"/>
      <c r="B118" s="26" t="str">
        <f ca="1">IF(E118="","",IF(OR(F118="已完成",F118="已取消",F118="已移交"),"4 暂不关注",IF(OR(R118="强制立即",A118="▶",AND(ISNUMBER(N118),IF(MOD(N118,1)=0,INT(N118)+下拉列表!$H$5,N118)&lt;=$B$1),AND(F118&lt;&gt;"等待他人",OR(COUNTIF(Q118,"*止损*")&gt;0,COUNTIF(Q118,"*阻塞*")&gt;0))),"1 立即处理",IF(OR(R118="强制今日",AND(F118="等待他人",M118=""),AND(ISNUMBER(M118),IF(MOD(M118,1)=0,INT(M118)+下拉列表!$H$2,M118)&lt;=$B$1),AND(ISNUMBER(N118),INT(IF(MOD(N118,1)=0,INT(N118)+下拉列表!$H$5,N118))=INT($B$1),IF(MOD(N118,1)=0,INT(N118)+下拉列表!$H$5,N118)&gt;$B$1),AND(ISNUMBER(N118),INT(IF(MOD(N118,1)=0,INT(N118)+下拉列表!$H$5,N118))=INT($B$1)+1),AND(COUNTIF(Q118,"*领导DDL*")&gt;0,ISNUMBER(N118),INT(IF(MOD(N118,1)=0,INT(N118)+下拉列表!$H$5,N118))&lt;=INT($B$1)+2)),"2 今日处理",IF(AND(F118="等待他人",ISNUMBER(M118),IF(MOD(M118,1)=0,INT(M118)+下拉列表!$H$2,M118)&gt;$B$1),"4 暂不关注","3 近期关注")))))</f>
        <v/>
      </c>
      <c r="C118" s="26"/>
      <c r="D118" s="26"/>
      <c r="E118" s="26"/>
      <c r="F118" s="26"/>
      <c r="G118" s="26"/>
      <c r="H118" s="26"/>
      <c r="I118" s="26"/>
      <c r="J118" s="26"/>
      <c r="K118" s="32"/>
      <c r="L118" s="32"/>
      <c r="M118" s="33"/>
      <c r="N118" s="33"/>
      <c r="O118" s="34" t="str">
        <f ca="1">IF(E118="","",IF(L118="","",MAX(0,INT($B$1)-INT(L118))))</f>
        <v/>
      </c>
      <c r="P118" s="26"/>
      <c r="Q118" s="26"/>
      <c r="R118" s="26"/>
    </row>
    <row r="119" spans="1:18">
      <c r="A119" s="26"/>
      <c r="B119" s="26" t="str">
        <f ca="1">IF(E119="","",IF(OR(F119="已完成",F119="已取消",F119="已移交"),"4 暂不关注",IF(OR(R119="强制立即",A119="▶",AND(ISNUMBER(N119),IF(MOD(N119,1)=0,INT(N119)+下拉列表!$H$5,N119)&lt;=$B$1),AND(F119&lt;&gt;"等待他人",OR(COUNTIF(Q119,"*止损*")&gt;0,COUNTIF(Q119,"*阻塞*")&gt;0))),"1 立即处理",IF(OR(R119="强制今日",AND(F119="等待他人",M119=""),AND(ISNUMBER(M119),IF(MOD(M119,1)=0,INT(M119)+下拉列表!$H$2,M119)&lt;=$B$1),AND(ISNUMBER(N119),INT(IF(MOD(N119,1)=0,INT(N119)+下拉列表!$H$5,N119))=INT($B$1),IF(MOD(N119,1)=0,INT(N119)+下拉列表!$H$5,N119)&gt;$B$1),AND(ISNUMBER(N119),INT(IF(MOD(N119,1)=0,INT(N119)+下拉列表!$H$5,N119))=INT($B$1)+1),AND(COUNTIF(Q119,"*领导DDL*")&gt;0,ISNUMBER(N119),INT(IF(MOD(N119,1)=0,INT(N119)+下拉列表!$H$5,N119))&lt;=INT($B$1)+2)),"2 今日处理",IF(AND(F119="等待他人",ISNUMBER(M119),IF(MOD(M119,1)=0,INT(M119)+下拉列表!$H$2,M119)&gt;$B$1),"4 暂不关注","3 近期关注")))))</f>
        <v/>
      </c>
      <c r="C119" s="26"/>
      <c r="D119" s="26"/>
      <c r="E119" s="26"/>
      <c r="F119" s="26"/>
      <c r="G119" s="26"/>
      <c r="H119" s="26"/>
      <c r="I119" s="26"/>
      <c r="J119" s="26"/>
      <c r="K119" s="32"/>
      <c r="L119" s="32"/>
      <c r="M119" s="33"/>
      <c r="N119" s="33"/>
      <c r="O119" s="34" t="str">
        <f ca="1">IF(E119="","",IF(L119="","",MAX(0,INT($B$1)-INT(L119))))</f>
        <v/>
      </c>
      <c r="P119" s="26"/>
      <c r="Q119" s="26"/>
      <c r="R119" s="26"/>
    </row>
    <row r="120" spans="1:18">
      <c r="A120" s="26"/>
      <c r="B120" s="26" t="str">
        <f ca="1">IF(E120="","",IF(OR(F120="已完成",F120="已取消",F120="已移交"),"4 暂不关注",IF(OR(R120="强制立即",A120="▶",AND(ISNUMBER(N120),IF(MOD(N120,1)=0,INT(N120)+下拉列表!$H$5,N120)&lt;=$B$1),AND(F120&lt;&gt;"等待他人",OR(COUNTIF(Q120,"*止损*")&gt;0,COUNTIF(Q120,"*阻塞*")&gt;0))),"1 立即处理",IF(OR(R120="强制今日",AND(F120="等待他人",M120=""),AND(ISNUMBER(M120),IF(MOD(M120,1)=0,INT(M120)+下拉列表!$H$2,M120)&lt;=$B$1),AND(ISNUMBER(N120),INT(IF(MOD(N120,1)=0,INT(N120)+下拉列表!$H$5,N120))=INT($B$1),IF(MOD(N120,1)=0,INT(N120)+下拉列表!$H$5,N120)&gt;$B$1),AND(ISNUMBER(N120),INT(IF(MOD(N120,1)=0,INT(N120)+下拉列表!$H$5,N120))=INT($B$1)+1),AND(COUNTIF(Q120,"*领导DDL*")&gt;0,ISNUMBER(N120),INT(IF(MOD(N120,1)=0,INT(N120)+下拉列表!$H$5,N120))&lt;=INT($B$1)+2)),"2 今日处理",IF(AND(F120="等待他人",ISNUMBER(M120),IF(MOD(M120,1)=0,INT(M120)+下拉列表!$H$2,M120)&gt;$B$1),"4 暂不关注","3 近期关注")))))</f>
        <v/>
      </c>
      <c r="C120" s="26"/>
      <c r="D120" s="26"/>
      <c r="E120" s="26"/>
      <c r="F120" s="26"/>
      <c r="G120" s="26"/>
      <c r="H120" s="26"/>
      <c r="I120" s="26"/>
      <c r="J120" s="26"/>
      <c r="K120" s="32"/>
      <c r="L120" s="32"/>
      <c r="M120" s="33"/>
      <c r="N120" s="33"/>
      <c r="O120" s="34" t="str">
        <f ca="1">IF(E120="","",IF(L120="","",MAX(0,INT($B$1)-INT(L120))))</f>
        <v/>
      </c>
      <c r="P120" s="26"/>
      <c r="Q120" s="26"/>
      <c r="R120" s="26"/>
    </row>
    <row r="121" spans="1:18">
      <c r="A121" s="26"/>
      <c r="B121" s="26" t="str">
        <f ca="1">IF(E121="","",IF(OR(F121="已完成",F121="已取消",F121="已移交"),"4 暂不关注",IF(OR(R121="强制立即",A121="▶",AND(ISNUMBER(N121),IF(MOD(N121,1)=0,INT(N121)+下拉列表!$H$5,N121)&lt;=$B$1),AND(F121&lt;&gt;"等待他人",OR(COUNTIF(Q121,"*止损*")&gt;0,COUNTIF(Q121,"*阻塞*")&gt;0))),"1 立即处理",IF(OR(R121="强制今日",AND(F121="等待他人",M121=""),AND(ISNUMBER(M121),IF(MOD(M121,1)=0,INT(M121)+下拉列表!$H$2,M121)&lt;=$B$1),AND(ISNUMBER(N121),INT(IF(MOD(N121,1)=0,INT(N121)+下拉列表!$H$5,N121))=INT($B$1),IF(MOD(N121,1)=0,INT(N121)+下拉列表!$H$5,N121)&gt;$B$1),AND(ISNUMBER(N121),INT(IF(MOD(N121,1)=0,INT(N121)+下拉列表!$H$5,N121))=INT($B$1)+1),AND(COUNTIF(Q121,"*领导DDL*")&gt;0,ISNUMBER(N121),INT(IF(MOD(N121,1)=0,INT(N121)+下拉列表!$H$5,N121))&lt;=INT($B$1)+2)),"2 今日处理",IF(AND(F121="等待他人",ISNUMBER(M121),IF(MOD(M121,1)=0,INT(M121)+下拉列表!$H$2,M121)&gt;$B$1),"4 暂不关注","3 近期关注")))))</f>
        <v/>
      </c>
      <c r="C121" s="26"/>
      <c r="D121" s="26"/>
      <c r="E121" s="26"/>
      <c r="F121" s="26"/>
      <c r="G121" s="26"/>
      <c r="H121" s="26"/>
      <c r="I121" s="26"/>
      <c r="J121" s="26"/>
      <c r="K121" s="32"/>
      <c r="L121" s="32"/>
      <c r="M121" s="33"/>
      <c r="N121" s="33"/>
      <c r="O121" s="34" t="str">
        <f ca="1">IF(E121="","",IF(L121="","",MAX(0,INT($B$1)-INT(L121))))</f>
        <v/>
      </c>
      <c r="P121" s="26"/>
      <c r="Q121" s="26"/>
      <c r="R121" s="26"/>
    </row>
    <row r="122" spans="1:18">
      <c r="A122" s="26"/>
      <c r="B122" s="26" t="str">
        <f ca="1">IF(E122="","",IF(OR(F122="已完成",F122="已取消",F122="已移交"),"4 暂不关注",IF(OR(R122="强制立即",A122="▶",AND(ISNUMBER(N122),IF(MOD(N122,1)=0,INT(N122)+下拉列表!$H$5,N122)&lt;=$B$1),AND(F122&lt;&gt;"等待他人",OR(COUNTIF(Q122,"*止损*")&gt;0,COUNTIF(Q122,"*阻塞*")&gt;0))),"1 立即处理",IF(OR(R122="强制今日",AND(F122="等待他人",M122=""),AND(ISNUMBER(M122),IF(MOD(M122,1)=0,INT(M122)+下拉列表!$H$2,M122)&lt;=$B$1),AND(ISNUMBER(N122),INT(IF(MOD(N122,1)=0,INT(N122)+下拉列表!$H$5,N122))=INT($B$1),IF(MOD(N122,1)=0,INT(N122)+下拉列表!$H$5,N122)&gt;$B$1),AND(ISNUMBER(N122),INT(IF(MOD(N122,1)=0,INT(N122)+下拉列表!$H$5,N122))=INT($B$1)+1),AND(COUNTIF(Q122,"*领导DDL*")&gt;0,ISNUMBER(N122),INT(IF(MOD(N122,1)=0,INT(N122)+下拉列表!$H$5,N122))&lt;=INT($B$1)+2)),"2 今日处理",IF(AND(F122="等待他人",ISNUMBER(M122),IF(MOD(M122,1)=0,INT(M122)+下拉列表!$H$2,M122)&gt;$B$1),"4 暂不关注","3 近期关注")))))</f>
        <v/>
      </c>
      <c r="C122" s="26"/>
      <c r="D122" s="26"/>
      <c r="E122" s="26"/>
      <c r="F122" s="26"/>
      <c r="G122" s="26"/>
      <c r="H122" s="26"/>
      <c r="I122" s="26"/>
      <c r="J122" s="26"/>
      <c r="K122" s="32"/>
      <c r="L122" s="32"/>
      <c r="M122" s="33"/>
      <c r="N122" s="33"/>
      <c r="O122" s="34" t="str">
        <f ca="1">IF(E122="","",IF(L122="","",MAX(0,INT($B$1)-INT(L122))))</f>
        <v/>
      </c>
      <c r="P122" s="26"/>
      <c r="Q122" s="26"/>
      <c r="R122" s="26"/>
    </row>
    <row r="123" spans="1:18">
      <c r="A123" s="26"/>
      <c r="B123" s="26" t="str">
        <f ca="1">IF(E123="","",IF(OR(F123="已完成",F123="已取消",F123="已移交"),"4 暂不关注",IF(OR(R123="强制立即",A123="▶",AND(ISNUMBER(N123),IF(MOD(N123,1)=0,INT(N123)+下拉列表!$H$5,N123)&lt;=$B$1),AND(F123&lt;&gt;"等待他人",OR(COUNTIF(Q123,"*止损*")&gt;0,COUNTIF(Q123,"*阻塞*")&gt;0))),"1 立即处理",IF(OR(R123="强制今日",AND(F123="等待他人",M123=""),AND(ISNUMBER(M123),IF(MOD(M123,1)=0,INT(M123)+下拉列表!$H$2,M123)&lt;=$B$1),AND(ISNUMBER(N123),INT(IF(MOD(N123,1)=0,INT(N123)+下拉列表!$H$5,N123))=INT($B$1),IF(MOD(N123,1)=0,INT(N123)+下拉列表!$H$5,N123)&gt;$B$1),AND(ISNUMBER(N123),INT(IF(MOD(N123,1)=0,INT(N123)+下拉列表!$H$5,N123))=INT($B$1)+1),AND(COUNTIF(Q123,"*领导DDL*")&gt;0,ISNUMBER(N123),INT(IF(MOD(N123,1)=0,INT(N123)+下拉列表!$H$5,N123))&lt;=INT($B$1)+2)),"2 今日处理",IF(AND(F123="等待他人",ISNUMBER(M123),IF(MOD(M123,1)=0,INT(M123)+下拉列表!$H$2,M123)&gt;$B$1),"4 暂不关注","3 近期关注")))))</f>
        <v/>
      </c>
      <c r="C123" s="26"/>
      <c r="D123" s="26"/>
      <c r="E123" s="26"/>
      <c r="F123" s="26"/>
      <c r="G123" s="26"/>
      <c r="H123" s="26"/>
      <c r="I123" s="26"/>
      <c r="J123" s="26"/>
      <c r="K123" s="32"/>
      <c r="L123" s="32"/>
      <c r="M123" s="33"/>
      <c r="N123" s="33"/>
      <c r="O123" s="34" t="str">
        <f ca="1">IF(E123="","",IF(L123="","",MAX(0,INT($B$1)-INT(L123))))</f>
        <v/>
      </c>
      <c r="P123" s="26"/>
      <c r="Q123" s="26"/>
      <c r="R123" s="26"/>
    </row>
    <row r="124" spans="1:18">
      <c r="A124" s="26"/>
      <c r="B124" s="26" t="str">
        <f ca="1">IF(E124="","",IF(OR(F124="已完成",F124="已取消",F124="已移交"),"4 暂不关注",IF(OR(R124="强制立即",A124="▶",AND(ISNUMBER(N124),IF(MOD(N124,1)=0,INT(N124)+下拉列表!$H$5,N124)&lt;=$B$1),AND(F124&lt;&gt;"等待他人",OR(COUNTIF(Q124,"*止损*")&gt;0,COUNTIF(Q124,"*阻塞*")&gt;0))),"1 立即处理",IF(OR(R124="强制今日",AND(F124="等待他人",M124=""),AND(ISNUMBER(M124),IF(MOD(M124,1)=0,INT(M124)+下拉列表!$H$2,M124)&lt;=$B$1),AND(ISNUMBER(N124),INT(IF(MOD(N124,1)=0,INT(N124)+下拉列表!$H$5,N124))=INT($B$1),IF(MOD(N124,1)=0,INT(N124)+下拉列表!$H$5,N124)&gt;$B$1),AND(ISNUMBER(N124),INT(IF(MOD(N124,1)=0,INT(N124)+下拉列表!$H$5,N124))=INT($B$1)+1),AND(COUNTIF(Q124,"*领导DDL*")&gt;0,ISNUMBER(N124),INT(IF(MOD(N124,1)=0,INT(N124)+下拉列表!$H$5,N124))&lt;=INT($B$1)+2)),"2 今日处理",IF(AND(F124="等待他人",ISNUMBER(M124),IF(MOD(M124,1)=0,INT(M124)+下拉列表!$H$2,M124)&gt;$B$1),"4 暂不关注","3 近期关注")))))</f>
        <v/>
      </c>
      <c r="C124" s="26"/>
      <c r="D124" s="26"/>
      <c r="E124" s="26"/>
      <c r="F124" s="26"/>
      <c r="G124" s="26"/>
      <c r="H124" s="26"/>
      <c r="I124" s="26"/>
      <c r="J124" s="26"/>
      <c r="K124" s="32"/>
      <c r="L124" s="32"/>
      <c r="M124" s="33"/>
      <c r="N124" s="33"/>
      <c r="O124" s="34" t="str">
        <f ca="1">IF(E124="","",IF(L124="","",MAX(0,INT($B$1)-INT(L124))))</f>
        <v/>
      </c>
      <c r="P124" s="26"/>
      <c r="Q124" s="26"/>
      <c r="R124" s="26"/>
    </row>
    <row r="125" spans="1:18">
      <c r="A125" s="26"/>
      <c r="B125" s="26" t="str">
        <f ca="1">IF(E125="","",IF(OR(F125="已完成",F125="已取消",F125="已移交"),"4 暂不关注",IF(OR(R125="强制立即",A125="▶",AND(ISNUMBER(N125),IF(MOD(N125,1)=0,INT(N125)+下拉列表!$H$5,N125)&lt;=$B$1),AND(F125&lt;&gt;"等待他人",OR(COUNTIF(Q125,"*止损*")&gt;0,COUNTIF(Q125,"*阻塞*")&gt;0))),"1 立即处理",IF(OR(R125="强制今日",AND(F125="等待他人",M125=""),AND(ISNUMBER(M125),IF(MOD(M125,1)=0,INT(M125)+下拉列表!$H$2,M125)&lt;=$B$1),AND(ISNUMBER(N125),INT(IF(MOD(N125,1)=0,INT(N125)+下拉列表!$H$5,N125))=INT($B$1),IF(MOD(N125,1)=0,INT(N125)+下拉列表!$H$5,N125)&gt;$B$1),AND(ISNUMBER(N125),INT(IF(MOD(N125,1)=0,INT(N125)+下拉列表!$H$5,N125))=INT($B$1)+1),AND(COUNTIF(Q125,"*领导DDL*")&gt;0,ISNUMBER(N125),INT(IF(MOD(N125,1)=0,INT(N125)+下拉列表!$H$5,N125))&lt;=INT($B$1)+2)),"2 今日处理",IF(AND(F125="等待他人",ISNUMBER(M125),IF(MOD(M125,1)=0,INT(M125)+下拉列表!$H$2,M125)&gt;$B$1),"4 暂不关注","3 近期关注")))))</f>
        <v/>
      </c>
      <c r="C125" s="26"/>
      <c r="D125" s="26"/>
      <c r="E125" s="26"/>
      <c r="F125" s="26"/>
      <c r="G125" s="26"/>
      <c r="H125" s="26"/>
      <c r="I125" s="26"/>
      <c r="J125" s="26"/>
      <c r="K125" s="32"/>
      <c r="L125" s="32"/>
      <c r="M125" s="33"/>
      <c r="N125" s="33"/>
      <c r="O125" s="34" t="str">
        <f ca="1">IF(E125="","",IF(L125="","",MAX(0,INT($B$1)-INT(L125))))</f>
        <v/>
      </c>
      <c r="P125" s="26"/>
      <c r="Q125" s="26"/>
      <c r="R125" s="26"/>
    </row>
    <row r="126" spans="1:18">
      <c r="A126" s="26"/>
      <c r="B126" s="26" t="str">
        <f ca="1">IF(E126="","",IF(OR(F126="已完成",F126="已取消",F126="已移交"),"4 暂不关注",IF(OR(R126="强制立即",A126="▶",AND(ISNUMBER(N126),IF(MOD(N126,1)=0,INT(N126)+下拉列表!$H$5,N126)&lt;=$B$1),AND(F126&lt;&gt;"等待他人",OR(COUNTIF(Q126,"*止损*")&gt;0,COUNTIF(Q126,"*阻塞*")&gt;0))),"1 立即处理",IF(OR(R126="强制今日",AND(F126="等待他人",M126=""),AND(ISNUMBER(M126),IF(MOD(M126,1)=0,INT(M126)+下拉列表!$H$2,M126)&lt;=$B$1),AND(ISNUMBER(N126),INT(IF(MOD(N126,1)=0,INT(N126)+下拉列表!$H$5,N126))=INT($B$1),IF(MOD(N126,1)=0,INT(N126)+下拉列表!$H$5,N126)&gt;$B$1),AND(ISNUMBER(N126),INT(IF(MOD(N126,1)=0,INT(N126)+下拉列表!$H$5,N126))=INT($B$1)+1),AND(COUNTIF(Q126,"*领导DDL*")&gt;0,ISNUMBER(N126),INT(IF(MOD(N126,1)=0,INT(N126)+下拉列表!$H$5,N126))&lt;=INT($B$1)+2)),"2 今日处理",IF(AND(F126="等待他人",ISNUMBER(M126),IF(MOD(M126,1)=0,INT(M126)+下拉列表!$H$2,M126)&gt;$B$1),"4 暂不关注","3 近期关注")))))</f>
        <v/>
      </c>
      <c r="C126" s="26"/>
      <c r="D126" s="26"/>
      <c r="E126" s="26"/>
      <c r="F126" s="26"/>
      <c r="G126" s="26"/>
      <c r="H126" s="26"/>
      <c r="I126" s="26"/>
      <c r="J126" s="26"/>
      <c r="K126" s="32"/>
      <c r="L126" s="32"/>
      <c r="M126" s="33"/>
      <c r="N126" s="33"/>
      <c r="O126" s="34" t="str">
        <f ca="1">IF(E126="","",IF(L126="","",MAX(0,INT($B$1)-INT(L126))))</f>
        <v/>
      </c>
      <c r="P126" s="26"/>
      <c r="Q126" s="26"/>
      <c r="R126" s="26"/>
    </row>
    <row r="127" spans="1:18">
      <c r="A127" s="26"/>
      <c r="B127" s="26" t="str">
        <f ca="1">IF(E127="","",IF(OR(F127="已完成",F127="已取消",F127="已移交"),"4 暂不关注",IF(OR(R127="强制立即",A127="▶",AND(ISNUMBER(N127),IF(MOD(N127,1)=0,INT(N127)+下拉列表!$H$5,N127)&lt;=$B$1),AND(F127&lt;&gt;"等待他人",OR(COUNTIF(Q127,"*止损*")&gt;0,COUNTIF(Q127,"*阻塞*")&gt;0))),"1 立即处理",IF(OR(R127="强制今日",AND(F127="等待他人",M127=""),AND(ISNUMBER(M127),IF(MOD(M127,1)=0,INT(M127)+下拉列表!$H$2,M127)&lt;=$B$1),AND(ISNUMBER(N127),INT(IF(MOD(N127,1)=0,INT(N127)+下拉列表!$H$5,N127))=INT($B$1),IF(MOD(N127,1)=0,INT(N127)+下拉列表!$H$5,N127)&gt;$B$1),AND(ISNUMBER(N127),INT(IF(MOD(N127,1)=0,INT(N127)+下拉列表!$H$5,N127))=INT($B$1)+1),AND(COUNTIF(Q127,"*领导DDL*")&gt;0,ISNUMBER(N127),INT(IF(MOD(N127,1)=0,INT(N127)+下拉列表!$H$5,N127))&lt;=INT($B$1)+2)),"2 今日处理",IF(AND(F127="等待他人",ISNUMBER(M127),IF(MOD(M127,1)=0,INT(M127)+下拉列表!$H$2,M127)&gt;$B$1),"4 暂不关注","3 近期关注")))))</f>
        <v/>
      </c>
      <c r="C127" s="26"/>
      <c r="D127" s="26"/>
      <c r="E127" s="26"/>
      <c r="F127" s="26"/>
      <c r="G127" s="26"/>
      <c r="H127" s="26"/>
      <c r="I127" s="26"/>
      <c r="J127" s="26"/>
      <c r="K127" s="32"/>
      <c r="L127" s="32"/>
      <c r="M127" s="33"/>
      <c r="N127" s="33"/>
      <c r="O127" s="34" t="str">
        <f ca="1">IF(E127="","",IF(L127="","",MAX(0,INT($B$1)-INT(L127))))</f>
        <v/>
      </c>
      <c r="P127" s="26"/>
      <c r="Q127" s="26"/>
      <c r="R127" s="26"/>
    </row>
    <row r="128" spans="1:18">
      <c r="A128" s="26"/>
      <c r="B128" s="26" t="str">
        <f ca="1">IF(E128="","",IF(OR(F128="已完成",F128="已取消",F128="已移交"),"4 暂不关注",IF(OR(R128="强制立即",A128="▶",AND(ISNUMBER(N128),IF(MOD(N128,1)=0,INT(N128)+下拉列表!$H$5,N128)&lt;=$B$1),AND(F128&lt;&gt;"等待他人",OR(COUNTIF(Q128,"*止损*")&gt;0,COUNTIF(Q128,"*阻塞*")&gt;0))),"1 立即处理",IF(OR(R128="强制今日",AND(F128="等待他人",M128=""),AND(ISNUMBER(M128),IF(MOD(M128,1)=0,INT(M128)+下拉列表!$H$2,M128)&lt;=$B$1),AND(ISNUMBER(N128),INT(IF(MOD(N128,1)=0,INT(N128)+下拉列表!$H$5,N128))=INT($B$1),IF(MOD(N128,1)=0,INT(N128)+下拉列表!$H$5,N128)&gt;$B$1),AND(ISNUMBER(N128),INT(IF(MOD(N128,1)=0,INT(N128)+下拉列表!$H$5,N128))=INT($B$1)+1),AND(COUNTIF(Q128,"*领导DDL*")&gt;0,ISNUMBER(N128),INT(IF(MOD(N128,1)=0,INT(N128)+下拉列表!$H$5,N128))&lt;=INT($B$1)+2)),"2 今日处理",IF(AND(F128="等待他人",ISNUMBER(M128),IF(MOD(M128,1)=0,INT(M128)+下拉列表!$H$2,M128)&gt;$B$1),"4 暂不关注","3 近期关注")))))</f>
        <v/>
      </c>
      <c r="C128" s="26"/>
      <c r="D128" s="26"/>
      <c r="E128" s="26"/>
      <c r="F128" s="26"/>
      <c r="G128" s="26"/>
      <c r="H128" s="26"/>
      <c r="I128" s="26"/>
      <c r="J128" s="26"/>
      <c r="K128" s="32"/>
      <c r="L128" s="32"/>
      <c r="M128" s="33"/>
      <c r="N128" s="33"/>
      <c r="O128" s="34" t="str">
        <f ca="1">IF(E128="","",IF(L128="","",MAX(0,INT($B$1)-INT(L128))))</f>
        <v/>
      </c>
      <c r="P128" s="26"/>
      <c r="Q128" s="26"/>
      <c r="R128" s="26"/>
    </row>
    <row r="129" spans="1:18">
      <c r="A129" s="26"/>
      <c r="B129" s="26" t="str">
        <f ca="1">IF(E129="","",IF(OR(F129="已完成",F129="已取消",F129="已移交"),"4 暂不关注",IF(OR(R129="强制立即",A129="▶",AND(ISNUMBER(N129),IF(MOD(N129,1)=0,INT(N129)+下拉列表!$H$5,N129)&lt;=$B$1),AND(F129&lt;&gt;"等待他人",OR(COUNTIF(Q129,"*止损*")&gt;0,COUNTIF(Q129,"*阻塞*")&gt;0))),"1 立即处理",IF(OR(R129="强制今日",AND(F129="等待他人",M129=""),AND(ISNUMBER(M129),IF(MOD(M129,1)=0,INT(M129)+下拉列表!$H$2,M129)&lt;=$B$1),AND(ISNUMBER(N129),INT(IF(MOD(N129,1)=0,INT(N129)+下拉列表!$H$5,N129))=INT($B$1),IF(MOD(N129,1)=0,INT(N129)+下拉列表!$H$5,N129)&gt;$B$1),AND(ISNUMBER(N129),INT(IF(MOD(N129,1)=0,INT(N129)+下拉列表!$H$5,N129))=INT($B$1)+1),AND(COUNTIF(Q129,"*领导DDL*")&gt;0,ISNUMBER(N129),INT(IF(MOD(N129,1)=0,INT(N129)+下拉列表!$H$5,N129))&lt;=INT($B$1)+2)),"2 今日处理",IF(AND(F129="等待他人",ISNUMBER(M129),IF(MOD(M129,1)=0,INT(M129)+下拉列表!$H$2,M129)&gt;$B$1),"4 暂不关注","3 近期关注")))))</f>
        <v/>
      </c>
      <c r="C129" s="26"/>
      <c r="D129" s="26"/>
      <c r="E129" s="26"/>
      <c r="F129" s="26"/>
      <c r="G129" s="26"/>
      <c r="H129" s="26"/>
      <c r="I129" s="26"/>
      <c r="J129" s="26"/>
      <c r="K129" s="32"/>
      <c r="L129" s="32"/>
      <c r="M129" s="33"/>
      <c r="N129" s="33"/>
      <c r="O129" s="34" t="str">
        <f ca="1">IF(E129="","",IF(L129="","",MAX(0,INT($B$1)-INT(L129))))</f>
        <v/>
      </c>
      <c r="P129" s="26"/>
      <c r="Q129" s="26"/>
      <c r="R129" s="26"/>
    </row>
    <row r="130" spans="1:18">
      <c r="A130" s="26"/>
      <c r="B130" s="26" t="str">
        <f ca="1">IF(E130="","",IF(OR(F130="已完成",F130="已取消",F130="已移交"),"4 暂不关注",IF(OR(R130="强制立即",A130="▶",AND(ISNUMBER(N130),IF(MOD(N130,1)=0,INT(N130)+下拉列表!$H$5,N130)&lt;=$B$1),AND(F130&lt;&gt;"等待他人",OR(COUNTIF(Q130,"*止损*")&gt;0,COUNTIF(Q130,"*阻塞*")&gt;0))),"1 立即处理",IF(OR(R130="强制今日",AND(F130="等待他人",M130=""),AND(ISNUMBER(M130),IF(MOD(M130,1)=0,INT(M130)+下拉列表!$H$2,M130)&lt;=$B$1),AND(ISNUMBER(N130),INT(IF(MOD(N130,1)=0,INT(N130)+下拉列表!$H$5,N130))=INT($B$1),IF(MOD(N130,1)=0,INT(N130)+下拉列表!$H$5,N130)&gt;$B$1),AND(ISNUMBER(N130),INT(IF(MOD(N130,1)=0,INT(N130)+下拉列表!$H$5,N130))=INT($B$1)+1),AND(COUNTIF(Q130,"*领导DDL*")&gt;0,ISNUMBER(N130),INT(IF(MOD(N130,1)=0,INT(N130)+下拉列表!$H$5,N130))&lt;=INT($B$1)+2)),"2 今日处理",IF(AND(F130="等待他人",ISNUMBER(M130),IF(MOD(M130,1)=0,INT(M130)+下拉列表!$H$2,M130)&gt;$B$1),"4 暂不关注","3 近期关注")))))</f>
        <v/>
      </c>
      <c r="C130" s="26"/>
      <c r="D130" s="26"/>
      <c r="E130" s="26"/>
      <c r="F130" s="26"/>
      <c r="G130" s="26"/>
      <c r="H130" s="26"/>
      <c r="I130" s="26"/>
      <c r="J130" s="26"/>
      <c r="K130" s="32"/>
      <c r="L130" s="32"/>
      <c r="M130" s="33"/>
      <c r="N130" s="33"/>
      <c r="O130" s="34" t="str">
        <f ca="1">IF(E130="","",IF(L130="","",MAX(0,INT($B$1)-INT(L130))))</f>
        <v/>
      </c>
      <c r="P130" s="26"/>
      <c r="Q130" s="26"/>
      <c r="R130" s="26"/>
    </row>
    <row r="131" spans="1:18">
      <c r="A131" s="26"/>
      <c r="B131" s="26" t="str">
        <f ca="1">IF(E131="","",IF(OR(F131="已完成",F131="已取消",F131="已移交"),"4 暂不关注",IF(OR(R131="强制立即",A131="▶",AND(ISNUMBER(N131),IF(MOD(N131,1)=0,INT(N131)+下拉列表!$H$5,N131)&lt;=$B$1),AND(F131&lt;&gt;"等待他人",OR(COUNTIF(Q131,"*止损*")&gt;0,COUNTIF(Q131,"*阻塞*")&gt;0))),"1 立即处理",IF(OR(R131="强制今日",AND(F131="等待他人",M131=""),AND(ISNUMBER(M131),IF(MOD(M131,1)=0,INT(M131)+下拉列表!$H$2,M131)&lt;=$B$1),AND(ISNUMBER(N131),INT(IF(MOD(N131,1)=0,INT(N131)+下拉列表!$H$5,N131))=INT($B$1),IF(MOD(N131,1)=0,INT(N131)+下拉列表!$H$5,N131)&gt;$B$1),AND(ISNUMBER(N131),INT(IF(MOD(N131,1)=0,INT(N131)+下拉列表!$H$5,N131))=INT($B$1)+1),AND(COUNTIF(Q131,"*领导DDL*")&gt;0,ISNUMBER(N131),INT(IF(MOD(N131,1)=0,INT(N131)+下拉列表!$H$5,N131))&lt;=INT($B$1)+2)),"2 今日处理",IF(AND(F131="等待他人",ISNUMBER(M131),IF(MOD(M131,1)=0,INT(M131)+下拉列表!$H$2,M131)&gt;$B$1),"4 暂不关注","3 近期关注")))))</f>
        <v/>
      </c>
      <c r="C131" s="26"/>
      <c r="D131" s="26"/>
      <c r="E131" s="26"/>
      <c r="F131" s="26"/>
      <c r="G131" s="26"/>
      <c r="H131" s="26"/>
      <c r="I131" s="26"/>
      <c r="J131" s="26"/>
      <c r="K131" s="32"/>
      <c r="L131" s="32"/>
      <c r="M131" s="33"/>
      <c r="N131" s="33"/>
      <c r="O131" s="34" t="str">
        <f ca="1">IF(E131="","",IF(L131="","",MAX(0,INT($B$1)-INT(L131))))</f>
        <v/>
      </c>
      <c r="P131" s="26"/>
      <c r="Q131" s="26"/>
      <c r="R131" s="26"/>
    </row>
    <row r="132" spans="1:18">
      <c r="A132" s="26"/>
      <c r="B132" s="26" t="str">
        <f ca="1">IF(E132="","",IF(OR(F132="已完成",F132="已取消",F132="已移交"),"4 暂不关注",IF(OR(R132="强制立即",A132="▶",AND(ISNUMBER(N132),IF(MOD(N132,1)=0,INT(N132)+下拉列表!$H$5,N132)&lt;=$B$1),AND(F132&lt;&gt;"等待他人",OR(COUNTIF(Q132,"*止损*")&gt;0,COUNTIF(Q132,"*阻塞*")&gt;0))),"1 立即处理",IF(OR(R132="强制今日",AND(F132="等待他人",M132=""),AND(ISNUMBER(M132),IF(MOD(M132,1)=0,INT(M132)+下拉列表!$H$2,M132)&lt;=$B$1),AND(ISNUMBER(N132),INT(IF(MOD(N132,1)=0,INT(N132)+下拉列表!$H$5,N132))=INT($B$1),IF(MOD(N132,1)=0,INT(N132)+下拉列表!$H$5,N132)&gt;$B$1),AND(ISNUMBER(N132),INT(IF(MOD(N132,1)=0,INT(N132)+下拉列表!$H$5,N132))=INT($B$1)+1),AND(COUNTIF(Q132,"*领导DDL*")&gt;0,ISNUMBER(N132),INT(IF(MOD(N132,1)=0,INT(N132)+下拉列表!$H$5,N132))&lt;=INT($B$1)+2)),"2 今日处理",IF(AND(F132="等待他人",ISNUMBER(M132),IF(MOD(M132,1)=0,INT(M132)+下拉列表!$H$2,M132)&gt;$B$1),"4 暂不关注","3 近期关注")))))</f>
        <v/>
      </c>
      <c r="C132" s="26"/>
      <c r="D132" s="26"/>
      <c r="E132" s="26"/>
      <c r="F132" s="26"/>
      <c r="G132" s="26"/>
      <c r="H132" s="26"/>
      <c r="I132" s="26"/>
      <c r="J132" s="26"/>
      <c r="K132" s="32"/>
      <c r="L132" s="32"/>
      <c r="M132" s="33"/>
      <c r="N132" s="33"/>
      <c r="O132" s="34" t="str">
        <f ca="1">IF(E132="","",IF(L132="","",MAX(0,INT($B$1)-INT(L132))))</f>
        <v/>
      </c>
      <c r="P132" s="26"/>
      <c r="Q132" s="26"/>
      <c r="R132" s="26"/>
    </row>
    <row r="133" spans="1:18">
      <c r="A133" s="26"/>
      <c r="B133" s="26" t="str">
        <f ca="1">IF(E133="","",IF(OR(F133="已完成",F133="已取消",F133="已移交"),"4 暂不关注",IF(OR(R133="强制立即",A133="▶",AND(ISNUMBER(N133),IF(MOD(N133,1)=0,INT(N133)+下拉列表!$H$5,N133)&lt;=$B$1),AND(F133&lt;&gt;"等待他人",OR(COUNTIF(Q133,"*止损*")&gt;0,COUNTIF(Q133,"*阻塞*")&gt;0))),"1 立即处理",IF(OR(R133="强制今日",AND(F133="等待他人",M133=""),AND(ISNUMBER(M133),IF(MOD(M133,1)=0,INT(M133)+下拉列表!$H$2,M133)&lt;=$B$1),AND(ISNUMBER(N133),INT(IF(MOD(N133,1)=0,INT(N133)+下拉列表!$H$5,N133))=INT($B$1),IF(MOD(N133,1)=0,INT(N133)+下拉列表!$H$5,N133)&gt;$B$1),AND(ISNUMBER(N133),INT(IF(MOD(N133,1)=0,INT(N133)+下拉列表!$H$5,N133))=INT($B$1)+1),AND(COUNTIF(Q133,"*领导DDL*")&gt;0,ISNUMBER(N133),INT(IF(MOD(N133,1)=0,INT(N133)+下拉列表!$H$5,N133))&lt;=INT($B$1)+2)),"2 今日处理",IF(AND(F133="等待他人",ISNUMBER(M133),IF(MOD(M133,1)=0,INT(M133)+下拉列表!$H$2,M133)&gt;$B$1),"4 暂不关注","3 近期关注")))))</f>
        <v/>
      </c>
      <c r="C133" s="26"/>
      <c r="D133" s="26"/>
      <c r="E133" s="26"/>
      <c r="F133" s="26"/>
      <c r="G133" s="26"/>
      <c r="H133" s="26"/>
      <c r="I133" s="26"/>
      <c r="J133" s="26"/>
      <c r="K133" s="32"/>
      <c r="L133" s="32"/>
      <c r="M133" s="33"/>
      <c r="N133" s="33"/>
      <c r="O133" s="34" t="str">
        <f ca="1">IF(E133="","",IF(L133="","",MAX(0,INT($B$1)-INT(L133))))</f>
        <v/>
      </c>
      <c r="P133" s="26"/>
      <c r="Q133" s="26"/>
      <c r="R133" s="26"/>
    </row>
    <row r="134" spans="1:18">
      <c r="A134" s="26"/>
      <c r="B134" s="26" t="str">
        <f ca="1">IF(E134="","",IF(OR(F134="已完成",F134="已取消",F134="已移交"),"4 暂不关注",IF(OR(R134="强制立即",A134="▶",AND(ISNUMBER(N134),IF(MOD(N134,1)=0,INT(N134)+下拉列表!$H$5,N134)&lt;=$B$1),AND(F134&lt;&gt;"等待他人",OR(COUNTIF(Q134,"*止损*")&gt;0,COUNTIF(Q134,"*阻塞*")&gt;0))),"1 立即处理",IF(OR(R134="强制今日",AND(F134="等待他人",M134=""),AND(ISNUMBER(M134),IF(MOD(M134,1)=0,INT(M134)+下拉列表!$H$2,M134)&lt;=$B$1),AND(ISNUMBER(N134),INT(IF(MOD(N134,1)=0,INT(N134)+下拉列表!$H$5,N134))=INT($B$1),IF(MOD(N134,1)=0,INT(N134)+下拉列表!$H$5,N134)&gt;$B$1),AND(ISNUMBER(N134),INT(IF(MOD(N134,1)=0,INT(N134)+下拉列表!$H$5,N134))=INT($B$1)+1),AND(COUNTIF(Q134,"*领导DDL*")&gt;0,ISNUMBER(N134),INT(IF(MOD(N134,1)=0,INT(N134)+下拉列表!$H$5,N134))&lt;=INT($B$1)+2)),"2 今日处理",IF(AND(F134="等待他人",ISNUMBER(M134),IF(MOD(M134,1)=0,INT(M134)+下拉列表!$H$2,M134)&gt;$B$1),"4 暂不关注","3 近期关注")))))</f>
        <v/>
      </c>
      <c r="C134" s="26"/>
      <c r="D134" s="26"/>
      <c r="E134" s="26"/>
      <c r="F134" s="26"/>
      <c r="G134" s="26"/>
      <c r="H134" s="26"/>
      <c r="I134" s="26"/>
      <c r="J134" s="26"/>
      <c r="K134" s="32"/>
      <c r="L134" s="32"/>
      <c r="M134" s="33"/>
      <c r="N134" s="33"/>
      <c r="O134" s="34" t="str">
        <f ca="1">IF(E134="","",IF(L134="","",MAX(0,INT($B$1)-INT(L134))))</f>
        <v/>
      </c>
      <c r="P134" s="26"/>
      <c r="Q134" s="26"/>
      <c r="R134" s="26"/>
    </row>
    <row r="135" spans="1:18">
      <c r="A135" s="26"/>
      <c r="B135" s="26" t="str">
        <f ca="1">IF(E135="","",IF(OR(F135="已完成",F135="已取消",F135="已移交"),"4 暂不关注",IF(OR(R135="强制立即",A135="▶",AND(ISNUMBER(N135),IF(MOD(N135,1)=0,INT(N135)+下拉列表!$H$5,N135)&lt;=$B$1),AND(F135&lt;&gt;"等待他人",OR(COUNTIF(Q135,"*止损*")&gt;0,COUNTIF(Q135,"*阻塞*")&gt;0))),"1 立即处理",IF(OR(R135="强制今日",AND(F135="等待他人",M135=""),AND(ISNUMBER(M135),IF(MOD(M135,1)=0,INT(M135)+下拉列表!$H$2,M135)&lt;=$B$1),AND(ISNUMBER(N135),INT(IF(MOD(N135,1)=0,INT(N135)+下拉列表!$H$5,N135))=INT($B$1),IF(MOD(N135,1)=0,INT(N135)+下拉列表!$H$5,N135)&gt;$B$1),AND(ISNUMBER(N135),INT(IF(MOD(N135,1)=0,INT(N135)+下拉列表!$H$5,N135))=INT($B$1)+1),AND(COUNTIF(Q135,"*领导DDL*")&gt;0,ISNUMBER(N135),INT(IF(MOD(N135,1)=0,INT(N135)+下拉列表!$H$5,N135))&lt;=INT($B$1)+2)),"2 今日处理",IF(AND(F135="等待他人",ISNUMBER(M135),IF(MOD(M135,1)=0,INT(M135)+下拉列表!$H$2,M135)&gt;$B$1),"4 暂不关注","3 近期关注")))))</f>
        <v/>
      </c>
      <c r="C135" s="26"/>
      <c r="D135" s="26"/>
      <c r="E135" s="26"/>
      <c r="F135" s="26"/>
      <c r="G135" s="26"/>
      <c r="H135" s="26"/>
      <c r="I135" s="26"/>
      <c r="J135" s="26"/>
      <c r="K135" s="32"/>
      <c r="L135" s="32"/>
      <c r="M135" s="33"/>
      <c r="N135" s="33"/>
      <c r="O135" s="34" t="str">
        <f ca="1">IF(E135="","",IF(L135="","",MAX(0,INT($B$1)-INT(L135))))</f>
        <v/>
      </c>
      <c r="P135" s="26"/>
      <c r="Q135" s="26"/>
      <c r="R135" s="26"/>
    </row>
    <row r="136" spans="1:18">
      <c r="A136" s="26"/>
      <c r="B136" s="26" t="str">
        <f ca="1">IF(E136="","",IF(OR(F136="已完成",F136="已取消",F136="已移交"),"4 暂不关注",IF(OR(R136="强制立即",A136="▶",AND(ISNUMBER(N136),IF(MOD(N136,1)=0,INT(N136)+下拉列表!$H$5,N136)&lt;=$B$1),AND(F136&lt;&gt;"等待他人",OR(COUNTIF(Q136,"*止损*")&gt;0,COUNTIF(Q136,"*阻塞*")&gt;0))),"1 立即处理",IF(OR(R136="强制今日",AND(F136="等待他人",M136=""),AND(ISNUMBER(M136),IF(MOD(M136,1)=0,INT(M136)+下拉列表!$H$2,M136)&lt;=$B$1),AND(ISNUMBER(N136),INT(IF(MOD(N136,1)=0,INT(N136)+下拉列表!$H$5,N136))=INT($B$1),IF(MOD(N136,1)=0,INT(N136)+下拉列表!$H$5,N136)&gt;$B$1),AND(ISNUMBER(N136),INT(IF(MOD(N136,1)=0,INT(N136)+下拉列表!$H$5,N136))=INT($B$1)+1),AND(COUNTIF(Q136,"*领导DDL*")&gt;0,ISNUMBER(N136),INT(IF(MOD(N136,1)=0,INT(N136)+下拉列表!$H$5,N136))&lt;=INT($B$1)+2)),"2 今日处理",IF(AND(F136="等待他人",ISNUMBER(M136),IF(MOD(M136,1)=0,INT(M136)+下拉列表!$H$2,M136)&gt;$B$1),"4 暂不关注","3 近期关注")))))</f>
        <v/>
      </c>
      <c r="C136" s="26"/>
      <c r="D136" s="26"/>
      <c r="E136" s="26"/>
      <c r="F136" s="26"/>
      <c r="G136" s="26"/>
      <c r="H136" s="26"/>
      <c r="I136" s="26"/>
      <c r="J136" s="26"/>
      <c r="K136" s="32"/>
      <c r="L136" s="32"/>
      <c r="M136" s="33"/>
      <c r="N136" s="33"/>
      <c r="O136" s="34" t="str">
        <f ca="1">IF(E136="","",IF(L136="","",MAX(0,INT($B$1)-INT(L136))))</f>
        <v/>
      </c>
      <c r="P136" s="26"/>
      <c r="Q136" s="26"/>
      <c r="R136" s="26"/>
    </row>
    <row r="137" spans="1:18">
      <c r="A137" s="26"/>
      <c r="B137" s="26" t="str">
        <f ca="1">IF(E137="","",IF(OR(F137="已完成",F137="已取消",F137="已移交"),"4 暂不关注",IF(OR(R137="强制立即",A137="▶",AND(ISNUMBER(N137),IF(MOD(N137,1)=0,INT(N137)+下拉列表!$H$5,N137)&lt;=$B$1),AND(F137&lt;&gt;"等待他人",OR(COUNTIF(Q137,"*止损*")&gt;0,COUNTIF(Q137,"*阻塞*")&gt;0))),"1 立即处理",IF(OR(R137="强制今日",AND(F137="等待他人",M137=""),AND(ISNUMBER(M137),IF(MOD(M137,1)=0,INT(M137)+下拉列表!$H$2,M137)&lt;=$B$1),AND(ISNUMBER(N137),INT(IF(MOD(N137,1)=0,INT(N137)+下拉列表!$H$5,N137))=INT($B$1),IF(MOD(N137,1)=0,INT(N137)+下拉列表!$H$5,N137)&gt;$B$1),AND(ISNUMBER(N137),INT(IF(MOD(N137,1)=0,INT(N137)+下拉列表!$H$5,N137))=INT($B$1)+1),AND(COUNTIF(Q137,"*领导DDL*")&gt;0,ISNUMBER(N137),INT(IF(MOD(N137,1)=0,INT(N137)+下拉列表!$H$5,N137))&lt;=INT($B$1)+2)),"2 今日处理",IF(AND(F137="等待他人",ISNUMBER(M137),IF(MOD(M137,1)=0,INT(M137)+下拉列表!$H$2,M137)&gt;$B$1),"4 暂不关注","3 近期关注")))))</f>
        <v/>
      </c>
      <c r="C137" s="26"/>
      <c r="D137" s="26"/>
      <c r="E137" s="26"/>
      <c r="F137" s="26"/>
      <c r="G137" s="26"/>
      <c r="H137" s="26"/>
      <c r="I137" s="26"/>
      <c r="J137" s="26"/>
      <c r="K137" s="32"/>
      <c r="L137" s="32"/>
      <c r="M137" s="33"/>
      <c r="N137" s="33"/>
      <c r="O137" s="34" t="str">
        <f ca="1">IF(E137="","",IF(L137="","",MAX(0,INT($B$1)-INT(L137))))</f>
        <v/>
      </c>
      <c r="P137" s="26"/>
      <c r="Q137" s="26"/>
      <c r="R137" s="26"/>
    </row>
    <row r="138" spans="1:18">
      <c r="A138" s="26"/>
      <c r="B138" s="26" t="str">
        <f ca="1">IF(E138="","",IF(OR(F138="已完成",F138="已取消",F138="已移交"),"4 暂不关注",IF(OR(R138="强制立即",A138="▶",AND(ISNUMBER(N138),IF(MOD(N138,1)=0,INT(N138)+下拉列表!$H$5,N138)&lt;=$B$1),AND(F138&lt;&gt;"等待他人",OR(COUNTIF(Q138,"*止损*")&gt;0,COUNTIF(Q138,"*阻塞*")&gt;0))),"1 立即处理",IF(OR(R138="强制今日",AND(F138="等待他人",M138=""),AND(ISNUMBER(M138),IF(MOD(M138,1)=0,INT(M138)+下拉列表!$H$2,M138)&lt;=$B$1),AND(ISNUMBER(N138),INT(IF(MOD(N138,1)=0,INT(N138)+下拉列表!$H$5,N138))=INT($B$1),IF(MOD(N138,1)=0,INT(N138)+下拉列表!$H$5,N138)&gt;$B$1),AND(ISNUMBER(N138),INT(IF(MOD(N138,1)=0,INT(N138)+下拉列表!$H$5,N138))=INT($B$1)+1),AND(COUNTIF(Q138,"*领导DDL*")&gt;0,ISNUMBER(N138),INT(IF(MOD(N138,1)=0,INT(N138)+下拉列表!$H$5,N138))&lt;=INT($B$1)+2)),"2 今日处理",IF(AND(F138="等待他人",ISNUMBER(M138),IF(MOD(M138,1)=0,INT(M138)+下拉列表!$H$2,M138)&gt;$B$1),"4 暂不关注","3 近期关注")))))</f>
        <v/>
      </c>
      <c r="C138" s="26"/>
      <c r="D138" s="26"/>
      <c r="E138" s="26"/>
      <c r="F138" s="26"/>
      <c r="G138" s="26"/>
      <c r="H138" s="26"/>
      <c r="I138" s="26"/>
      <c r="J138" s="26"/>
      <c r="K138" s="32"/>
      <c r="L138" s="32"/>
      <c r="M138" s="33"/>
      <c r="N138" s="33"/>
      <c r="O138" s="34" t="str">
        <f ca="1">IF(E138="","",IF(L138="","",MAX(0,INT($B$1)-INT(L138))))</f>
        <v/>
      </c>
      <c r="P138" s="26"/>
      <c r="Q138" s="26"/>
      <c r="R138" s="26"/>
    </row>
    <row r="139" spans="1:18">
      <c r="A139" s="26"/>
      <c r="B139" s="26" t="str">
        <f ca="1">IF(E139="","",IF(OR(F139="已完成",F139="已取消",F139="已移交"),"4 暂不关注",IF(OR(R139="强制立即",A139="▶",AND(ISNUMBER(N139),IF(MOD(N139,1)=0,INT(N139)+下拉列表!$H$5,N139)&lt;=$B$1),AND(F139&lt;&gt;"等待他人",OR(COUNTIF(Q139,"*止损*")&gt;0,COUNTIF(Q139,"*阻塞*")&gt;0))),"1 立即处理",IF(OR(R139="强制今日",AND(F139="等待他人",M139=""),AND(ISNUMBER(M139),IF(MOD(M139,1)=0,INT(M139)+下拉列表!$H$2,M139)&lt;=$B$1),AND(ISNUMBER(N139),INT(IF(MOD(N139,1)=0,INT(N139)+下拉列表!$H$5,N139))=INT($B$1),IF(MOD(N139,1)=0,INT(N139)+下拉列表!$H$5,N139)&gt;$B$1),AND(ISNUMBER(N139),INT(IF(MOD(N139,1)=0,INT(N139)+下拉列表!$H$5,N139))=INT($B$1)+1),AND(COUNTIF(Q139,"*领导DDL*")&gt;0,ISNUMBER(N139),INT(IF(MOD(N139,1)=0,INT(N139)+下拉列表!$H$5,N139))&lt;=INT($B$1)+2)),"2 今日处理",IF(AND(F139="等待他人",ISNUMBER(M139),IF(MOD(M139,1)=0,INT(M139)+下拉列表!$H$2,M139)&gt;$B$1),"4 暂不关注","3 近期关注")))))</f>
        <v/>
      </c>
      <c r="C139" s="26"/>
      <c r="D139" s="26"/>
      <c r="E139" s="26"/>
      <c r="F139" s="26"/>
      <c r="G139" s="26"/>
      <c r="H139" s="26"/>
      <c r="I139" s="26"/>
      <c r="J139" s="26"/>
      <c r="K139" s="32"/>
      <c r="L139" s="32"/>
      <c r="M139" s="33"/>
      <c r="N139" s="33"/>
      <c r="O139" s="34" t="str">
        <f ca="1">IF(E139="","",IF(L139="","",MAX(0,INT($B$1)-INT(L139))))</f>
        <v/>
      </c>
      <c r="P139" s="26"/>
      <c r="Q139" s="26"/>
      <c r="R139" s="26"/>
    </row>
    <row r="140" spans="1:18">
      <c r="A140" s="26"/>
      <c r="B140" s="26" t="str">
        <f ca="1">IF(E140="","",IF(OR(F140="已完成",F140="已取消",F140="已移交"),"4 暂不关注",IF(OR(R140="强制立即",A140="▶",AND(ISNUMBER(N140),IF(MOD(N140,1)=0,INT(N140)+下拉列表!$H$5,N140)&lt;=$B$1),AND(F140&lt;&gt;"等待他人",OR(COUNTIF(Q140,"*止损*")&gt;0,COUNTIF(Q140,"*阻塞*")&gt;0))),"1 立即处理",IF(OR(R140="强制今日",AND(F140="等待他人",M140=""),AND(ISNUMBER(M140),IF(MOD(M140,1)=0,INT(M140)+下拉列表!$H$2,M140)&lt;=$B$1),AND(ISNUMBER(N140),INT(IF(MOD(N140,1)=0,INT(N140)+下拉列表!$H$5,N140))=INT($B$1),IF(MOD(N140,1)=0,INT(N140)+下拉列表!$H$5,N140)&gt;$B$1),AND(ISNUMBER(N140),INT(IF(MOD(N140,1)=0,INT(N140)+下拉列表!$H$5,N140))=INT($B$1)+1),AND(COUNTIF(Q140,"*领导DDL*")&gt;0,ISNUMBER(N140),INT(IF(MOD(N140,1)=0,INT(N140)+下拉列表!$H$5,N140))&lt;=INT($B$1)+2)),"2 今日处理",IF(AND(F140="等待他人",ISNUMBER(M140),IF(MOD(M140,1)=0,INT(M140)+下拉列表!$H$2,M140)&gt;$B$1),"4 暂不关注","3 近期关注")))))</f>
        <v/>
      </c>
      <c r="C140" s="26"/>
      <c r="D140" s="26"/>
      <c r="E140" s="26"/>
      <c r="F140" s="26"/>
      <c r="G140" s="26"/>
      <c r="H140" s="26"/>
      <c r="I140" s="26"/>
      <c r="J140" s="26"/>
      <c r="K140" s="32"/>
      <c r="L140" s="32"/>
      <c r="M140" s="33"/>
      <c r="N140" s="33"/>
      <c r="O140" s="34" t="str">
        <f ca="1">IF(E140="","",IF(L140="","",MAX(0,INT($B$1)-INT(L140))))</f>
        <v/>
      </c>
      <c r="P140" s="26"/>
      <c r="Q140" s="26"/>
      <c r="R140" s="26"/>
    </row>
    <row r="141" spans="1:18">
      <c r="A141" s="26"/>
      <c r="B141" s="26" t="str">
        <f ca="1">IF(E141="","",IF(OR(F141="已完成",F141="已取消",F141="已移交"),"4 暂不关注",IF(OR(R141="强制立即",A141="▶",AND(ISNUMBER(N141),IF(MOD(N141,1)=0,INT(N141)+下拉列表!$H$5,N141)&lt;=$B$1),AND(F141&lt;&gt;"等待他人",OR(COUNTIF(Q141,"*止损*")&gt;0,COUNTIF(Q141,"*阻塞*")&gt;0))),"1 立即处理",IF(OR(R141="强制今日",AND(F141="等待他人",M141=""),AND(ISNUMBER(M141),IF(MOD(M141,1)=0,INT(M141)+下拉列表!$H$2,M141)&lt;=$B$1),AND(ISNUMBER(N141),INT(IF(MOD(N141,1)=0,INT(N141)+下拉列表!$H$5,N141))=INT($B$1),IF(MOD(N141,1)=0,INT(N141)+下拉列表!$H$5,N141)&gt;$B$1),AND(ISNUMBER(N141),INT(IF(MOD(N141,1)=0,INT(N141)+下拉列表!$H$5,N141))=INT($B$1)+1),AND(COUNTIF(Q141,"*领导DDL*")&gt;0,ISNUMBER(N141),INT(IF(MOD(N141,1)=0,INT(N141)+下拉列表!$H$5,N141))&lt;=INT($B$1)+2)),"2 今日处理",IF(AND(F141="等待他人",ISNUMBER(M141),IF(MOD(M141,1)=0,INT(M141)+下拉列表!$H$2,M141)&gt;$B$1),"4 暂不关注","3 近期关注")))))</f>
        <v/>
      </c>
      <c r="C141" s="26"/>
      <c r="D141" s="26"/>
      <c r="E141" s="26"/>
      <c r="F141" s="26"/>
      <c r="G141" s="26"/>
      <c r="H141" s="26"/>
      <c r="I141" s="26"/>
      <c r="J141" s="26"/>
      <c r="K141" s="32"/>
      <c r="L141" s="32"/>
      <c r="M141" s="33"/>
      <c r="N141" s="33"/>
      <c r="O141" s="34" t="str">
        <f ca="1">IF(E141="","",IF(L141="","",MAX(0,INT($B$1)-INT(L141))))</f>
        <v/>
      </c>
      <c r="P141" s="26"/>
      <c r="Q141" s="26"/>
      <c r="R141" s="26"/>
    </row>
    <row r="142" spans="1:18">
      <c r="A142" s="26"/>
      <c r="B142" s="26" t="str">
        <f ca="1">IF(E142="","",IF(OR(F142="已完成",F142="已取消",F142="已移交"),"4 暂不关注",IF(OR(R142="强制立即",A142="▶",AND(ISNUMBER(N142),IF(MOD(N142,1)=0,INT(N142)+下拉列表!$H$5,N142)&lt;=$B$1),AND(F142&lt;&gt;"等待他人",OR(COUNTIF(Q142,"*止损*")&gt;0,COUNTIF(Q142,"*阻塞*")&gt;0))),"1 立即处理",IF(OR(R142="强制今日",AND(F142="等待他人",M142=""),AND(ISNUMBER(M142),IF(MOD(M142,1)=0,INT(M142)+下拉列表!$H$2,M142)&lt;=$B$1),AND(ISNUMBER(N142),INT(IF(MOD(N142,1)=0,INT(N142)+下拉列表!$H$5,N142))=INT($B$1),IF(MOD(N142,1)=0,INT(N142)+下拉列表!$H$5,N142)&gt;$B$1),AND(ISNUMBER(N142),INT(IF(MOD(N142,1)=0,INT(N142)+下拉列表!$H$5,N142))=INT($B$1)+1),AND(COUNTIF(Q142,"*领导DDL*")&gt;0,ISNUMBER(N142),INT(IF(MOD(N142,1)=0,INT(N142)+下拉列表!$H$5,N142))&lt;=INT($B$1)+2)),"2 今日处理",IF(AND(F142="等待他人",ISNUMBER(M142),IF(MOD(M142,1)=0,INT(M142)+下拉列表!$H$2,M142)&gt;$B$1),"4 暂不关注","3 近期关注")))))</f>
        <v/>
      </c>
      <c r="C142" s="26"/>
      <c r="D142" s="26"/>
      <c r="E142" s="26"/>
      <c r="F142" s="26"/>
      <c r="G142" s="26"/>
      <c r="H142" s="26"/>
      <c r="I142" s="26"/>
      <c r="J142" s="26"/>
      <c r="K142" s="32"/>
      <c r="L142" s="32"/>
      <c r="M142" s="33"/>
      <c r="N142" s="33"/>
      <c r="O142" s="34" t="str">
        <f ca="1">IF(E142="","",IF(L142="","",MAX(0,INT($B$1)-INT(L142))))</f>
        <v/>
      </c>
      <c r="P142" s="26"/>
      <c r="Q142" s="26"/>
      <c r="R142" s="26"/>
    </row>
    <row r="143" spans="1:18">
      <c r="A143" s="26"/>
      <c r="B143" s="26" t="str">
        <f ca="1">IF(E143="","",IF(OR(F143="已完成",F143="已取消",F143="已移交"),"4 暂不关注",IF(OR(R143="强制立即",A143="▶",AND(ISNUMBER(N143),IF(MOD(N143,1)=0,INT(N143)+下拉列表!$H$5,N143)&lt;=$B$1),AND(F143&lt;&gt;"等待他人",OR(COUNTIF(Q143,"*止损*")&gt;0,COUNTIF(Q143,"*阻塞*")&gt;0))),"1 立即处理",IF(OR(R143="强制今日",AND(F143="等待他人",M143=""),AND(ISNUMBER(M143),IF(MOD(M143,1)=0,INT(M143)+下拉列表!$H$2,M143)&lt;=$B$1),AND(ISNUMBER(N143),INT(IF(MOD(N143,1)=0,INT(N143)+下拉列表!$H$5,N143))=INT($B$1),IF(MOD(N143,1)=0,INT(N143)+下拉列表!$H$5,N143)&gt;$B$1),AND(ISNUMBER(N143),INT(IF(MOD(N143,1)=0,INT(N143)+下拉列表!$H$5,N143))=INT($B$1)+1),AND(COUNTIF(Q143,"*领导DDL*")&gt;0,ISNUMBER(N143),INT(IF(MOD(N143,1)=0,INT(N143)+下拉列表!$H$5,N143))&lt;=INT($B$1)+2)),"2 今日处理",IF(AND(F143="等待他人",ISNUMBER(M143),IF(MOD(M143,1)=0,INT(M143)+下拉列表!$H$2,M143)&gt;$B$1),"4 暂不关注","3 近期关注")))))</f>
        <v/>
      </c>
      <c r="C143" s="26"/>
      <c r="D143" s="26"/>
      <c r="E143" s="26"/>
      <c r="F143" s="26"/>
      <c r="G143" s="26"/>
      <c r="H143" s="26"/>
      <c r="I143" s="26"/>
      <c r="J143" s="26"/>
      <c r="K143" s="32"/>
      <c r="L143" s="32"/>
      <c r="M143" s="33"/>
      <c r="N143" s="33"/>
      <c r="O143" s="34" t="str">
        <f ca="1">IF(E143="","",IF(L143="","",MAX(0,INT($B$1)-INT(L143))))</f>
        <v/>
      </c>
      <c r="P143" s="26"/>
      <c r="Q143" s="26"/>
      <c r="R143" s="26"/>
    </row>
    <row r="144" spans="1:18">
      <c r="A144" s="26"/>
      <c r="B144" s="26" t="str">
        <f ca="1">IF(E144="","",IF(OR(F144="已完成",F144="已取消",F144="已移交"),"4 暂不关注",IF(OR(R144="强制立即",A144="▶",AND(ISNUMBER(N144),IF(MOD(N144,1)=0,INT(N144)+下拉列表!$H$5,N144)&lt;=$B$1),AND(F144&lt;&gt;"等待他人",OR(COUNTIF(Q144,"*止损*")&gt;0,COUNTIF(Q144,"*阻塞*")&gt;0))),"1 立即处理",IF(OR(R144="强制今日",AND(F144="等待他人",M144=""),AND(ISNUMBER(M144),IF(MOD(M144,1)=0,INT(M144)+下拉列表!$H$2,M144)&lt;=$B$1),AND(ISNUMBER(N144),INT(IF(MOD(N144,1)=0,INT(N144)+下拉列表!$H$5,N144))=INT($B$1),IF(MOD(N144,1)=0,INT(N144)+下拉列表!$H$5,N144)&gt;$B$1),AND(ISNUMBER(N144),INT(IF(MOD(N144,1)=0,INT(N144)+下拉列表!$H$5,N144))=INT($B$1)+1),AND(COUNTIF(Q144,"*领导DDL*")&gt;0,ISNUMBER(N144),INT(IF(MOD(N144,1)=0,INT(N144)+下拉列表!$H$5,N144))&lt;=INT($B$1)+2)),"2 今日处理",IF(AND(F144="等待他人",ISNUMBER(M144),IF(MOD(M144,1)=0,INT(M144)+下拉列表!$H$2,M144)&gt;$B$1),"4 暂不关注","3 近期关注")))))</f>
        <v/>
      </c>
      <c r="C144" s="26"/>
      <c r="D144" s="26"/>
      <c r="E144" s="26"/>
      <c r="F144" s="26"/>
      <c r="G144" s="26"/>
      <c r="H144" s="26"/>
      <c r="I144" s="26"/>
      <c r="J144" s="26"/>
      <c r="K144" s="32"/>
      <c r="L144" s="32"/>
      <c r="M144" s="33"/>
      <c r="N144" s="33"/>
      <c r="O144" s="34" t="str">
        <f ca="1">IF(E144="","",IF(L144="","",MAX(0,INT($B$1)-INT(L144))))</f>
        <v/>
      </c>
      <c r="P144" s="26"/>
      <c r="Q144" s="26"/>
      <c r="R144" s="26"/>
    </row>
    <row r="145" spans="1:18">
      <c r="A145" s="26"/>
      <c r="B145" s="26" t="str">
        <f ca="1">IF(E145="","",IF(OR(F145="已完成",F145="已取消",F145="已移交"),"4 暂不关注",IF(OR(R145="强制立即",A145="▶",AND(ISNUMBER(N145),IF(MOD(N145,1)=0,INT(N145)+下拉列表!$H$5,N145)&lt;=$B$1),AND(F145&lt;&gt;"等待他人",OR(COUNTIF(Q145,"*止损*")&gt;0,COUNTIF(Q145,"*阻塞*")&gt;0))),"1 立即处理",IF(OR(R145="强制今日",AND(F145="等待他人",M145=""),AND(ISNUMBER(M145),IF(MOD(M145,1)=0,INT(M145)+下拉列表!$H$2,M145)&lt;=$B$1),AND(ISNUMBER(N145),INT(IF(MOD(N145,1)=0,INT(N145)+下拉列表!$H$5,N145))=INT($B$1),IF(MOD(N145,1)=0,INT(N145)+下拉列表!$H$5,N145)&gt;$B$1),AND(ISNUMBER(N145),INT(IF(MOD(N145,1)=0,INT(N145)+下拉列表!$H$5,N145))=INT($B$1)+1),AND(COUNTIF(Q145,"*领导DDL*")&gt;0,ISNUMBER(N145),INT(IF(MOD(N145,1)=0,INT(N145)+下拉列表!$H$5,N145))&lt;=INT($B$1)+2)),"2 今日处理",IF(AND(F145="等待他人",ISNUMBER(M145),IF(MOD(M145,1)=0,INT(M145)+下拉列表!$H$2,M145)&gt;$B$1),"4 暂不关注","3 近期关注")))))</f>
        <v/>
      </c>
      <c r="C145" s="26"/>
      <c r="D145" s="26"/>
      <c r="E145" s="26"/>
      <c r="F145" s="26"/>
      <c r="G145" s="26"/>
      <c r="H145" s="26"/>
      <c r="I145" s="26"/>
      <c r="J145" s="26"/>
      <c r="K145" s="32"/>
      <c r="L145" s="32"/>
      <c r="M145" s="33"/>
      <c r="N145" s="33"/>
      <c r="O145" s="34" t="str">
        <f ca="1">IF(E145="","",IF(L145="","",MAX(0,INT($B$1)-INT(L145))))</f>
        <v/>
      </c>
      <c r="P145" s="26"/>
      <c r="Q145" s="26"/>
      <c r="R145" s="26"/>
    </row>
    <row r="146" spans="1:18">
      <c r="A146" s="26"/>
      <c r="B146" s="26" t="str">
        <f ca="1">IF(E146="","",IF(OR(F146="已完成",F146="已取消",F146="已移交"),"4 暂不关注",IF(OR(R146="强制立即",A146="▶",AND(ISNUMBER(N146),IF(MOD(N146,1)=0,INT(N146)+下拉列表!$H$5,N146)&lt;=$B$1),AND(F146&lt;&gt;"等待他人",OR(COUNTIF(Q146,"*止损*")&gt;0,COUNTIF(Q146,"*阻塞*")&gt;0))),"1 立即处理",IF(OR(R146="强制今日",AND(F146="等待他人",M146=""),AND(ISNUMBER(M146),IF(MOD(M146,1)=0,INT(M146)+下拉列表!$H$2,M146)&lt;=$B$1),AND(ISNUMBER(N146),INT(IF(MOD(N146,1)=0,INT(N146)+下拉列表!$H$5,N146))=INT($B$1),IF(MOD(N146,1)=0,INT(N146)+下拉列表!$H$5,N146)&gt;$B$1),AND(ISNUMBER(N146),INT(IF(MOD(N146,1)=0,INT(N146)+下拉列表!$H$5,N146))=INT($B$1)+1),AND(COUNTIF(Q146,"*领导DDL*")&gt;0,ISNUMBER(N146),INT(IF(MOD(N146,1)=0,INT(N146)+下拉列表!$H$5,N146))&lt;=INT($B$1)+2)),"2 今日处理",IF(AND(F146="等待他人",ISNUMBER(M146),IF(MOD(M146,1)=0,INT(M146)+下拉列表!$H$2,M146)&gt;$B$1),"4 暂不关注","3 近期关注")))))</f>
        <v/>
      </c>
      <c r="C146" s="26"/>
      <c r="D146" s="26"/>
      <c r="E146" s="26"/>
      <c r="F146" s="26"/>
      <c r="G146" s="26"/>
      <c r="H146" s="26"/>
      <c r="I146" s="26"/>
      <c r="J146" s="26"/>
      <c r="K146" s="32"/>
      <c r="L146" s="32"/>
      <c r="M146" s="33"/>
      <c r="N146" s="33"/>
      <c r="O146" s="34" t="str">
        <f ca="1">IF(E146="","",IF(L146="","",MAX(0,INT($B$1)-INT(L146))))</f>
        <v/>
      </c>
      <c r="P146" s="26"/>
      <c r="Q146" s="26"/>
      <c r="R146" s="26"/>
    </row>
    <row r="147" spans="1:18">
      <c r="A147" s="26"/>
      <c r="B147" s="26" t="str">
        <f ca="1">IF(E147="","",IF(OR(F147="已完成",F147="已取消",F147="已移交"),"4 暂不关注",IF(OR(R147="强制立即",A147="▶",AND(ISNUMBER(N147),IF(MOD(N147,1)=0,INT(N147)+下拉列表!$H$5,N147)&lt;=$B$1),AND(F147&lt;&gt;"等待他人",OR(COUNTIF(Q147,"*止损*")&gt;0,COUNTIF(Q147,"*阻塞*")&gt;0))),"1 立即处理",IF(OR(R147="强制今日",AND(F147="等待他人",M147=""),AND(ISNUMBER(M147),IF(MOD(M147,1)=0,INT(M147)+下拉列表!$H$2,M147)&lt;=$B$1),AND(ISNUMBER(N147),INT(IF(MOD(N147,1)=0,INT(N147)+下拉列表!$H$5,N147))=INT($B$1),IF(MOD(N147,1)=0,INT(N147)+下拉列表!$H$5,N147)&gt;$B$1),AND(ISNUMBER(N147),INT(IF(MOD(N147,1)=0,INT(N147)+下拉列表!$H$5,N147))=INT($B$1)+1),AND(COUNTIF(Q147,"*领导DDL*")&gt;0,ISNUMBER(N147),INT(IF(MOD(N147,1)=0,INT(N147)+下拉列表!$H$5,N147))&lt;=INT($B$1)+2)),"2 今日处理",IF(AND(F147="等待他人",ISNUMBER(M147),IF(MOD(M147,1)=0,INT(M147)+下拉列表!$H$2,M147)&gt;$B$1),"4 暂不关注","3 近期关注")))))</f>
        <v/>
      </c>
      <c r="C147" s="26"/>
      <c r="D147" s="26"/>
      <c r="E147" s="26"/>
      <c r="F147" s="26"/>
      <c r="G147" s="26"/>
      <c r="H147" s="26"/>
      <c r="I147" s="26"/>
      <c r="J147" s="26"/>
      <c r="K147" s="32"/>
      <c r="L147" s="32"/>
      <c r="M147" s="33"/>
      <c r="N147" s="33"/>
      <c r="O147" s="34" t="str">
        <f ca="1">IF(E147="","",IF(L147="","",MAX(0,INT($B$1)-INT(L147))))</f>
        <v/>
      </c>
      <c r="P147" s="26"/>
      <c r="Q147" s="26"/>
      <c r="R147" s="26"/>
    </row>
    <row r="148" spans="1:18">
      <c r="A148" s="26"/>
      <c r="B148" s="26" t="str">
        <f ca="1">IF(E148="","",IF(OR(F148="已完成",F148="已取消",F148="已移交"),"4 暂不关注",IF(OR(R148="强制立即",A148="▶",AND(ISNUMBER(N148),IF(MOD(N148,1)=0,INT(N148)+下拉列表!$H$5,N148)&lt;=$B$1),AND(F148&lt;&gt;"等待他人",OR(COUNTIF(Q148,"*止损*")&gt;0,COUNTIF(Q148,"*阻塞*")&gt;0))),"1 立即处理",IF(OR(R148="强制今日",AND(F148="等待他人",M148=""),AND(ISNUMBER(M148),IF(MOD(M148,1)=0,INT(M148)+下拉列表!$H$2,M148)&lt;=$B$1),AND(ISNUMBER(N148),INT(IF(MOD(N148,1)=0,INT(N148)+下拉列表!$H$5,N148))=INT($B$1),IF(MOD(N148,1)=0,INT(N148)+下拉列表!$H$5,N148)&gt;$B$1),AND(ISNUMBER(N148),INT(IF(MOD(N148,1)=0,INT(N148)+下拉列表!$H$5,N148))=INT($B$1)+1),AND(COUNTIF(Q148,"*领导DDL*")&gt;0,ISNUMBER(N148),INT(IF(MOD(N148,1)=0,INT(N148)+下拉列表!$H$5,N148))&lt;=INT($B$1)+2)),"2 今日处理",IF(AND(F148="等待他人",ISNUMBER(M148),IF(MOD(M148,1)=0,INT(M148)+下拉列表!$H$2,M148)&gt;$B$1),"4 暂不关注","3 近期关注")))))</f>
        <v/>
      </c>
      <c r="C148" s="26"/>
      <c r="D148" s="26"/>
      <c r="E148" s="26"/>
      <c r="F148" s="26"/>
      <c r="G148" s="26"/>
      <c r="H148" s="26"/>
      <c r="I148" s="26"/>
      <c r="J148" s="26"/>
      <c r="K148" s="32"/>
      <c r="L148" s="32"/>
      <c r="M148" s="33"/>
      <c r="N148" s="33"/>
      <c r="O148" s="34" t="str">
        <f ca="1">IF(E148="","",IF(L148="","",MAX(0,INT($B$1)-INT(L148))))</f>
        <v/>
      </c>
      <c r="P148" s="26"/>
      <c r="Q148" s="26"/>
      <c r="R148" s="26"/>
    </row>
    <row r="149" spans="1:18">
      <c r="A149" s="26"/>
      <c r="B149" s="26" t="str">
        <f ca="1">IF(E149="","",IF(OR(F149="已完成",F149="已取消",F149="已移交"),"4 暂不关注",IF(OR(R149="强制立即",A149="▶",AND(ISNUMBER(N149),IF(MOD(N149,1)=0,INT(N149)+下拉列表!$H$5,N149)&lt;=$B$1),AND(F149&lt;&gt;"等待他人",OR(COUNTIF(Q149,"*止损*")&gt;0,COUNTIF(Q149,"*阻塞*")&gt;0))),"1 立即处理",IF(OR(R149="强制今日",AND(F149="等待他人",M149=""),AND(ISNUMBER(M149),IF(MOD(M149,1)=0,INT(M149)+下拉列表!$H$2,M149)&lt;=$B$1),AND(ISNUMBER(N149),INT(IF(MOD(N149,1)=0,INT(N149)+下拉列表!$H$5,N149))=INT($B$1),IF(MOD(N149,1)=0,INT(N149)+下拉列表!$H$5,N149)&gt;$B$1),AND(ISNUMBER(N149),INT(IF(MOD(N149,1)=0,INT(N149)+下拉列表!$H$5,N149))=INT($B$1)+1),AND(COUNTIF(Q149,"*领导DDL*")&gt;0,ISNUMBER(N149),INT(IF(MOD(N149,1)=0,INT(N149)+下拉列表!$H$5,N149))&lt;=INT($B$1)+2)),"2 今日处理",IF(AND(F149="等待他人",ISNUMBER(M149),IF(MOD(M149,1)=0,INT(M149)+下拉列表!$H$2,M149)&gt;$B$1),"4 暂不关注","3 近期关注")))))</f>
        <v/>
      </c>
      <c r="C149" s="26"/>
      <c r="D149" s="26"/>
      <c r="E149" s="26"/>
      <c r="F149" s="26"/>
      <c r="G149" s="26"/>
      <c r="H149" s="26"/>
      <c r="I149" s="26"/>
      <c r="J149" s="26"/>
      <c r="K149" s="32"/>
      <c r="L149" s="32"/>
      <c r="M149" s="33"/>
      <c r="N149" s="33"/>
      <c r="O149" s="34" t="str">
        <f ca="1">IF(E149="","",IF(L149="","",MAX(0,INT($B$1)-INT(L149))))</f>
        <v/>
      </c>
      <c r="P149" s="26"/>
      <c r="Q149" s="26"/>
      <c r="R149" s="26"/>
    </row>
    <row r="150" spans="1:18">
      <c r="A150" s="26"/>
      <c r="B150" s="26" t="str">
        <f ca="1">IF(E150="","",IF(OR(F150="已完成",F150="已取消",F150="已移交"),"4 暂不关注",IF(OR(R150="强制立即",A150="▶",AND(ISNUMBER(N150),IF(MOD(N150,1)=0,INT(N150)+下拉列表!$H$5,N150)&lt;=$B$1),AND(F150&lt;&gt;"等待他人",OR(COUNTIF(Q150,"*止损*")&gt;0,COUNTIF(Q150,"*阻塞*")&gt;0))),"1 立即处理",IF(OR(R150="强制今日",AND(F150="等待他人",M150=""),AND(ISNUMBER(M150),IF(MOD(M150,1)=0,INT(M150)+下拉列表!$H$2,M150)&lt;=$B$1),AND(ISNUMBER(N150),INT(IF(MOD(N150,1)=0,INT(N150)+下拉列表!$H$5,N150))=INT($B$1),IF(MOD(N150,1)=0,INT(N150)+下拉列表!$H$5,N150)&gt;$B$1),AND(ISNUMBER(N150),INT(IF(MOD(N150,1)=0,INT(N150)+下拉列表!$H$5,N150))=INT($B$1)+1),AND(COUNTIF(Q150,"*领导DDL*")&gt;0,ISNUMBER(N150),INT(IF(MOD(N150,1)=0,INT(N150)+下拉列表!$H$5,N150))&lt;=INT($B$1)+2)),"2 今日处理",IF(AND(F150="等待他人",ISNUMBER(M150),IF(MOD(M150,1)=0,INT(M150)+下拉列表!$H$2,M150)&gt;$B$1),"4 暂不关注","3 近期关注")))))</f>
        <v/>
      </c>
      <c r="C150" s="26"/>
      <c r="D150" s="26"/>
      <c r="E150" s="26"/>
      <c r="F150" s="26"/>
      <c r="G150" s="26"/>
      <c r="H150" s="26"/>
      <c r="I150" s="26"/>
      <c r="J150" s="26"/>
      <c r="K150" s="32"/>
      <c r="L150" s="32"/>
      <c r="M150" s="33"/>
      <c r="N150" s="33"/>
      <c r="O150" s="34" t="str">
        <f ca="1">IF(E150="","",IF(L150="","",MAX(0,INT($B$1)-INT(L150))))</f>
        <v/>
      </c>
      <c r="P150" s="26"/>
      <c r="Q150" s="26"/>
      <c r="R150" s="26"/>
    </row>
    <row r="151" spans="1:18">
      <c r="A151" s="26"/>
      <c r="B151" s="26" t="str">
        <f ca="1">IF(E151="","",IF(OR(F151="已完成",F151="已取消",F151="已移交"),"4 暂不关注",IF(OR(R151="强制立即",A151="▶",AND(ISNUMBER(N151),IF(MOD(N151,1)=0,INT(N151)+下拉列表!$H$5,N151)&lt;=$B$1),AND(F151&lt;&gt;"等待他人",OR(COUNTIF(Q151,"*止损*")&gt;0,COUNTIF(Q151,"*阻塞*")&gt;0))),"1 立即处理",IF(OR(R151="强制今日",AND(F151="等待他人",M151=""),AND(ISNUMBER(M151),IF(MOD(M151,1)=0,INT(M151)+下拉列表!$H$2,M151)&lt;=$B$1),AND(ISNUMBER(N151),INT(IF(MOD(N151,1)=0,INT(N151)+下拉列表!$H$5,N151))=INT($B$1),IF(MOD(N151,1)=0,INT(N151)+下拉列表!$H$5,N151)&gt;$B$1),AND(ISNUMBER(N151),INT(IF(MOD(N151,1)=0,INT(N151)+下拉列表!$H$5,N151))=INT($B$1)+1),AND(COUNTIF(Q151,"*领导DDL*")&gt;0,ISNUMBER(N151),INT(IF(MOD(N151,1)=0,INT(N151)+下拉列表!$H$5,N151))&lt;=INT($B$1)+2)),"2 今日处理",IF(AND(F151="等待他人",ISNUMBER(M151),IF(MOD(M151,1)=0,INT(M151)+下拉列表!$H$2,M151)&gt;$B$1),"4 暂不关注","3 近期关注")))))</f>
        <v/>
      </c>
      <c r="C151" s="26"/>
      <c r="D151" s="26"/>
      <c r="E151" s="26"/>
      <c r="F151" s="26"/>
      <c r="G151" s="26"/>
      <c r="H151" s="26"/>
      <c r="I151" s="26"/>
      <c r="J151" s="26"/>
      <c r="K151" s="32"/>
      <c r="L151" s="32"/>
      <c r="M151" s="33"/>
      <c r="N151" s="33"/>
      <c r="O151" s="34" t="str">
        <f ca="1">IF(E151="","",IF(L151="","",MAX(0,INT($B$1)-INT(L151))))</f>
        <v/>
      </c>
      <c r="P151" s="26"/>
      <c r="Q151" s="26"/>
      <c r="R151" s="26"/>
    </row>
    <row r="152" spans="1:18">
      <c r="A152" s="26"/>
      <c r="B152" s="26" t="str">
        <f ca="1">IF(E152="","",IF(OR(F152="已完成",F152="已取消",F152="已移交"),"4 暂不关注",IF(OR(R152="强制立即",A152="▶",AND(ISNUMBER(N152),IF(MOD(N152,1)=0,INT(N152)+下拉列表!$H$5,N152)&lt;=$B$1),AND(F152&lt;&gt;"等待他人",OR(COUNTIF(Q152,"*止损*")&gt;0,COUNTIF(Q152,"*阻塞*")&gt;0))),"1 立即处理",IF(OR(R152="强制今日",AND(F152="等待他人",M152=""),AND(ISNUMBER(M152),IF(MOD(M152,1)=0,INT(M152)+下拉列表!$H$2,M152)&lt;=$B$1),AND(ISNUMBER(N152),INT(IF(MOD(N152,1)=0,INT(N152)+下拉列表!$H$5,N152))=INT($B$1),IF(MOD(N152,1)=0,INT(N152)+下拉列表!$H$5,N152)&gt;$B$1),AND(ISNUMBER(N152),INT(IF(MOD(N152,1)=0,INT(N152)+下拉列表!$H$5,N152))=INT($B$1)+1),AND(COUNTIF(Q152,"*领导DDL*")&gt;0,ISNUMBER(N152),INT(IF(MOD(N152,1)=0,INT(N152)+下拉列表!$H$5,N152))&lt;=INT($B$1)+2)),"2 今日处理",IF(AND(F152="等待他人",ISNUMBER(M152),IF(MOD(M152,1)=0,INT(M152)+下拉列表!$H$2,M152)&gt;$B$1),"4 暂不关注","3 近期关注")))))</f>
        <v/>
      </c>
      <c r="C152" s="26"/>
      <c r="D152" s="26"/>
      <c r="E152" s="26"/>
      <c r="F152" s="26"/>
      <c r="G152" s="26"/>
      <c r="H152" s="26"/>
      <c r="I152" s="26"/>
      <c r="J152" s="26"/>
      <c r="K152" s="32"/>
      <c r="L152" s="32"/>
      <c r="M152" s="33"/>
      <c r="N152" s="33"/>
      <c r="O152" s="34" t="str">
        <f ca="1">IF(E152="","",IF(L152="","",MAX(0,INT($B$1)-INT(L152))))</f>
        <v/>
      </c>
      <c r="P152" s="26"/>
      <c r="Q152" s="26"/>
      <c r="R152" s="26"/>
    </row>
    <row r="153" spans="1:18">
      <c r="A153" s="26"/>
      <c r="B153" s="26" t="str">
        <f ca="1">IF(E153="","",IF(OR(F153="已完成",F153="已取消",F153="已移交"),"4 暂不关注",IF(OR(R153="强制立即",A153="▶",AND(ISNUMBER(N153),IF(MOD(N153,1)=0,INT(N153)+下拉列表!$H$5,N153)&lt;=$B$1),AND(F153&lt;&gt;"等待他人",OR(COUNTIF(Q153,"*止损*")&gt;0,COUNTIF(Q153,"*阻塞*")&gt;0))),"1 立即处理",IF(OR(R153="强制今日",AND(F153="等待他人",M153=""),AND(ISNUMBER(M153),IF(MOD(M153,1)=0,INT(M153)+下拉列表!$H$2,M153)&lt;=$B$1),AND(ISNUMBER(N153),INT(IF(MOD(N153,1)=0,INT(N153)+下拉列表!$H$5,N153))=INT($B$1),IF(MOD(N153,1)=0,INT(N153)+下拉列表!$H$5,N153)&gt;$B$1),AND(ISNUMBER(N153),INT(IF(MOD(N153,1)=0,INT(N153)+下拉列表!$H$5,N153))=INT($B$1)+1),AND(COUNTIF(Q153,"*领导DDL*")&gt;0,ISNUMBER(N153),INT(IF(MOD(N153,1)=0,INT(N153)+下拉列表!$H$5,N153))&lt;=INT($B$1)+2)),"2 今日处理",IF(AND(F153="等待他人",ISNUMBER(M153),IF(MOD(M153,1)=0,INT(M153)+下拉列表!$H$2,M153)&gt;$B$1),"4 暂不关注","3 近期关注")))))</f>
        <v/>
      </c>
      <c r="C153" s="26"/>
      <c r="D153" s="26"/>
      <c r="E153" s="26"/>
      <c r="F153" s="26"/>
      <c r="G153" s="26"/>
      <c r="H153" s="26"/>
      <c r="I153" s="26"/>
      <c r="J153" s="26"/>
      <c r="K153" s="32"/>
      <c r="L153" s="32"/>
      <c r="M153" s="33"/>
      <c r="N153" s="33"/>
      <c r="O153" s="34" t="str">
        <f ca="1">IF(E153="","",IF(L153="","",MAX(0,INT($B$1)-INT(L153))))</f>
        <v/>
      </c>
      <c r="P153" s="26"/>
      <c r="Q153" s="26"/>
      <c r="R153" s="26"/>
    </row>
    <row r="154" spans="1:18">
      <c r="A154" s="26"/>
      <c r="B154" s="26" t="str">
        <f ca="1">IF(E154="","",IF(OR(F154="已完成",F154="已取消",F154="已移交"),"4 暂不关注",IF(OR(R154="强制立即",A154="▶",AND(ISNUMBER(N154),IF(MOD(N154,1)=0,INT(N154)+下拉列表!$H$5,N154)&lt;=$B$1),AND(F154&lt;&gt;"等待他人",OR(COUNTIF(Q154,"*止损*")&gt;0,COUNTIF(Q154,"*阻塞*")&gt;0))),"1 立即处理",IF(OR(R154="强制今日",AND(F154="等待他人",M154=""),AND(ISNUMBER(M154),IF(MOD(M154,1)=0,INT(M154)+下拉列表!$H$2,M154)&lt;=$B$1),AND(ISNUMBER(N154),INT(IF(MOD(N154,1)=0,INT(N154)+下拉列表!$H$5,N154))=INT($B$1),IF(MOD(N154,1)=0,INT(N154)+下拉列表!$H$5,N154)&gt;$B$1),AND(ISNUMBER(N154),INT(IF(MOD(N154,1)=0,INT(N154)+下拉列表!$H$5,N154))=INT($B$1)+1),AND(COUNTIF(Q154,"*领导DDL*")&gt;0,ISNUMBER(N154),INT(IF(MOD(N154,1)=0,INT(N154)+下拉列表!$H$5,N154))&lt;=INT($B$1)+2)),"2 今日处理",IF(AND(F154="等待他人",ISNUMBER(M154),IF(MOD(M154,1)=0,INT(M154)+下拉列表!$H$2,M154)&gt;$B$1),"4 暂不关注","3 近期关注")))))</f>
        <v/>
      </c>
      <c r="C154" s="26"/>
      <c r="D154" s="26"/>
      <c r="E154" s="26"/>
      <c r="F154" s="26"/>
      <c r="G154" s="26"/>
      <c r="H154" s="26"/>
      <c r="I154" s="26"/>
      <c r="J154" s="26"/>
      <c r="K154" s="32"/>
      <c r="L154" s="32"/>
      <c r="M154" s="33"/>
      <c r="N154" s="33"/>
      <c r="O154" s="34" t="str">
        <f ca="1">IF(E154="","",IF(L154="","",MAX(0,INT($B$1)-INT(L154))))</f>
        <v/>
      </c>
      <c r="P154" s="26"/>
      <c r="Q154" s="26"/>
      <c r="R154" s="26"/>
    </row>
    <row r="155" spans="1:18">
      <c r="A155" s="26"/>
      <c r="B155" s="26" t="str">
        <f ca="1">IF(E155="","",IF(OR(F155="已完成",F155="已取消",F155="已移交"),"4 暂不关注",IF(OR(R155="强制立即",A155="▶",AND(ISNUMBER(N155),IF(MOD(N155,1)=0,INT(N155)+下拉列表!$H$5,N155)&lt;=$B$1),AND(F155&lt;&gt;"等待他人",OR(COUNTIF(Q155,"*止损*")&gt;0,COUNTIF(Q155,"*阻塞*")&gt;0))),"1 立即处理",IF(OR(R155="强制今日",AND(F155="等待他人",M155=""),AND(ISNUMBER(M155),IF(MOD(M155,1)=0,INT(M155)+下拉列表!$H$2,M155)&lt;=$B$1),AND(ISNUMBER(N155),INT(IF(MOD(N155,1)=0,INT(N155)+下拉列表!$H$5,N155))=INT($B$1),IF(MOD(N155,1)=0,INT(N155)+下拉列表!$H$5,N155)&gt;$B$1),AND(ISNUMBER(N155),INT(IF(MOD(N155,1)=0,INT(N155)+下拉列表!$H$5,N155))=INT($B$1)+1),AND(COUNTIF(Q155,"*领导DDL*")&gt;0,ISNUMBER(N155),INT(IF(MOD(N155,1)=0,INT(N155)+下拉列表!$H$5,N155))&lt;=INT($B$1)+2)),"2 今日处理",IF(AND(F155="等待他人",ISNUMBER(M155),IF(MOD(M155,1)=0,INT(M155)+下拉列表!$H$2,M155)&gt;$B$1),"4 暂不关注","3 近期关注")))))</f>
        <v/>
      </c>
      <c r="C155" s="26"/>
      <c r="D155" s="26"/>
      <c r="E155" s="26"/>
      <c r="F155" s="26"/>
      <c r="G155" s="26"/>
      <c r="H155" s="26"/>
      <c r="I155" s="26"/>
      <c r="J155" s="26"/>
      <c r="K155" s="32"/>
      <c r="L155" s="32"/>
      <c r="M155" s="33"/>
      <c r="N155" s="33"/>
      <c r="O155" s="34" t="str">
        <f ca="1">IF(E155="","",IF(L155="","",MAX(0,INT($B$1)-INT(L155))))</f>
        <v/>
      </c>
      <c r="P155" s="26"/>
      <c r="Q155" s="26"/>
      <c r="R155" s="26"/>
    </row>
    <row r="156" spans="1:18">
      <c r="A156" s="26"/>
      <c r="B156" s="26" t="str">
        <f ca="1">IF(E156="","",IF(OR(F156="已完成",F156="已取消",F156="已移交"),"4 暂不关注",IF(OR(R156="强制立即",A156="▶",AND(ISNUMBER(N156),IF(MOD(N156,1)=0,INT(N156)+下拉列表!$H$5,N156)&lt;=$B$1),AND(F156&lt;&gt;"等待他人",OR(COUNTIF(Q156,"*止损*")&gt;0,COUNTIF(Q156,"*阻塞*")&gt;0))),"1 立即处理",IF(OR(R156="强制今日",AND(F156="等待他人",M156=""),AND(ISNUMBER(M156),IF(MOD(M156,1)=0,INT(M156)+下拉列表!$H$2,M156)&lt;=$B$1),AND(ISNUMBER(N156),INT(IF(MOD(N156,1)=0,INT(N156)+下拉列表!$H$5,N156))=INT($B$1),IF(MOD(N156,1)=0,INT(N156)+下拉列表!$H$5,N156)&gt;$B$1),AND(ISNUMBER(N156),INT(IF(MOD(N156,1)=0,INT(N156)+下拉列表!$H$5,N156))=INT($B$1)+1),AND(COUNTIF(Q156,"*领导DDL*")&gt;0,ISNUMBER(N156),INT(IF(MOD(N156,1)=0,INT(N156)+下拉列表!$H$5,N156))&lt;=INT($B$1)+2)),"2 今日处理",IF(AND(F156="等待他人",ISNUMBER(M156),IF(MOD(M156,1)=0,INT(M156)+下拉列表!$H$2,M156)&gt;$B$1),"4 暂不关注","3 近期关注")))))</f>
        <v/>
      </c>
      <c r="C156" s="26"/>
      <c r="D156" s="26"/>
      <c r="E156" s="26"/>
      <c r="F156" s="26"/>
      <c r="G156" s="26"/>
      <c r="H156" s="26"/>
      <c r="I156" s="26"/>
      <c r="J156" s="26"/>
      <c r="K156" s="32"/>
      <c r="L156" s="32"/>
      <c r="M156" s="33"/>
      <c r="N156" s="33"/>
      <c r="O156" s="34" t="str">
        <f ca="1">IF(E156="","",IF(L156="","",MAX(0,INT($B$1)-INT(L156))))</f>
        <v/>
      </c>
      <c r="P156" s="26"/>
      <c r="Q156" s="26"/>
      <c r="R156" s="26"/>
    </row>
    <row r="157" spans="1:18">
      <c r="A157" s="26"/>
      <c r="B157" s="26" t="str">
        <f ca="1">IF(E157="","",IF(OR(F157="已完成",F157="已取消",F157="已移交"),"4 暂不关注",IF(OR(R157="强制立即",A157="▶",AND(ISNUMBER(N157),IF(MOD(N157,1)=0,INT(N157)+下拉列表!$H$5,N157)&lt;=$B$1),AND(F157&lt;&gt;"等待他人",OR(COUNTIF(Q157,"*止损*")&gt;0,COUNTIF(Q157,"*阻塞*")&gt;0))),"1 立即处理",IF(OR(R157="强制今日",AND(F157="等待他人",M157=""),AND(ISNUMBER(M157),IF(MOD(M157,1)=0,INT(M157)+下拉列表!$H$2,M157)&lt;=$B$1),AND(ISNUMBER(N157),INT(IF(MOD(N157,1)=0,INT(N157)+下拉列表!$H$5,N157))=INT($B$1),IF(MOD(N157,1)=0,INT(N157)+下拉列表!$H$5,N157)&gt;$B$1),AND(ISNUMBER(N157),INT(IF(MOD(N157,1)=0,INT(N157)+下拉列表!$H$5,N157))=INT($B$1)+1),AND(COUNTIF(Q157,"*领导DDL*")&gt;0,ISNUMBER(N157),INT(IF(MOD(N157,1)=0,INT(N157)+下拉列表!$H$5,N157))&lt;=INT($B$1)+2)),"2 今日处理",IF(AND(F157="等待他人",ISNUMBER(M157),IF(MOD(M157,1)=0,INT(M157)+下拉列表!$H$2,M157)&gt;$B$1),"4 暂不关注","3 近期关注")))))</f>
        <v/>
      </c>
      <c r="C157" s="26"/>
      <c r="D157" s="26"/>
      <c r="E157" s="26"/>
      <c r="F157" s="26"/>
      <c r="G157" s="26"/>
      <c r="H157" s="26"/>
      <c r="I157" s="26"/>
      <c r="J157" s="26"/>
      <c r="K157" s="32"/>
      <c r="L157" s="32"/>
      <c r="M157" s="33"/>
      <c r="N157" s="33"/>
      <c r="O157" s="34" t="str">
        <f ca="1">IF(E157="","",IF(L157="","",MAX(0,INT($B$1)-INT(L157))))</f>
        <v/>
      </c>
      <c r="P157" s="26"/>
      <c r="Q157" s="26"/>
      <c r="R157" s="26"/>
    </row>
    <row r="158" spans="1:18">
      <c r="A158" s="26"/>
      <c r="B158" s="26" t="str">
        <f ca="1">IF(E158="","",IF(OR(F158="已完成",F158="已取消",F158="已移交"),"4 暂不关注",IF(OR(R158="强制立即",A158="▶",AND(ISNUMBER(N158),IF(MOD(N158,1)=0,INT(N158)+下拉列表!$H$5,N158)&lt;=$B$1),AND(F158&lt;&gt;"等待他人",OR(COUNTIF(Q158,"*止损*")&gt;0,COUNTIF(Q158,"*阻塞*")&gt;0))),"1 立即处理",IF(OR(R158="强制今日",AND(F158="等待他人",M158=""),AND(ISNUMBER(M158),IF(MOD(M158,1)=0,INT(M158)+下拉列表!$H$2,M158)&lt;=$B$1),AND(ISNUMBER(N158),INT(IF(MOD(N158,1)=0,INT(N158)+下拉列表!$H$5,N158))=INT($B$1),IF(MOD(N158,1)=0,INT(N158)+下拉列表!$H$5,N158)&gt;$B$1),AND(ISNUMBER(N158),INT(IF(MOD(N158,1)=0,INT(N158)+下拉列表!$H$5,N158))=INT($B$1)+1),AND(COUNTIF(Q158,"*领导DDL*")&gt;0,ISNUMBER(N158),INT(IF(MOD(N158,1)=0,INT(N158)+下拉列表!$H$5,N158))&lt;=INT($B$1)+2)),"2 今日处理",IF(AND(F158="等待他人",ISNUMBER(M158),IF(MOD(M158,1)=0,INT(M158)+下拉列表!$H$2,M158)&gt;$B$1),"4 暂不关注","3 近期关注")))))</f>
        <v/>
      </c>
      <c r="C158" s="26"/>
      <c r="D158" s="26"/>
      <c r="E158" s="26"/>
      <c r="F158" s="26"/>
      <c r="G158" s="26"/>
      <c r="H158" s="26"/>
      <c r="I158" s="26"/>
      <c r="J158" s="26"/>
      <c r="K158" s="32"/>
      <c r="L158" s="32"/>
      <c r="M158" s="33"/>
      <c r="N158" s="33"/>
      <c r="O158" s="34" t="str">
        <f ca="1">IF(E158="","",IF(L158="","",MAX(0,INT($B$1)-INT(L158))))</f>
        <v/>
      </c>
      <c r="P158" s="26"/>
      <c r="Q158" s="26"/>
      <c r="R158" s="26"/>
    </row>
    <row r="159" spans="1:18">
      <c r="A159" s="26"/>
      <c r="B159" s="26" t="str">
        <f ca="1">IF(E159="","",IF(OR(F159="已完成",F159="已取消",F159="已移交"),"4 暂不关注",IF(OR(R159="强制立即",A159="▶",AND(ISNUMBER(N159),IF(MOD(N159,1)=0,INT(N159)+下拉列表!$H$5,N159)&lt;=$B$1),AND(F159&lt;&gt;"等待他人",OR(COUNTIF(Q159,"*止损*")&gt;0,COUNTIF(Q159,"*阻塞*")&gt;0))),"1 立即处理",IF(OR(R159="强制今日",AND(F159="等待他人",M159=""),AND(ISNUMBER(M159),IF(MOD(M159,1)=0,INT(M159)+下拉列表!$H$2,M159)&lt;=$B$1),AND(ISNUMBER(N159),INT(IF(MOD(N159,1)=0,INT(N159)+下拉列表!$H$5,N159))=INT($B$1),IF(MOD(N159,1)=0,INT(N159)+下拉列表!$H$5,N159)&gt;$B$1),AND(ISNUMBER(N159),INT(IF(MOD(N159,1)=0,INT(N159)+下拉列表!$H$5,N159))=INT($B$1)+1),AND(COUNTIF(Q159,"*领导DDL*")&gt;0,ISNUMBER(N159),INT(IF(MOD(N159,1)=0,INT(N159)+下拉列表!$H$5,N159))&lt;=INT($B$1)+2)),"2 今日处理",IF(AND(F159="等待他人",ISNUMBER(M159),IF(MOD(M159,1)=0,INT(M159)+下拉列表!$H$2,M159)&gt;$B$1),"4 暂不关注","3 近期关注")))))</f>
        <v/>
      </c>
      <c r="C159" s="26"/>
      <c r="D159" s="26"/>
      <c r="E159" s="26"/>
      <c r="F159" s="26"/>
      <c r="G159" s="26"/>
      <c r="H159" s="26"/>
      <c r="I159" s="26"/>
      <c r="J159" s="26"/>
      <c r="K159" s="32"/>
      <c r="L159" s="32"/>
      <c r="M159" s="33"/>
      <c r="N159" s="33"/>
      <c r="O159" s="34" t="str">
        <f ca="1">IF(E159="","",IF(L159="","",MAX(0,INT($B$1)-INT(L159))))</f>
        <v/>
      </c>
      <c r="P159" s="26"/>
      <c r="Q159" s="26"/>
      <c r="R159" s="26"/>
    </row>
    <row r="160" spans="1:18">
      <c r="A160" s="26"/>
      <c r="B160" s="26" t="str">
        <f ca="1">IF(E160="","",IF(OR(F160="已完成",F160="已取消",F160="已移交"),"4 暂不关注",IF(OR(R160="强制立即",A160="▶",AND(ISNUMBER(N160),IF(MOD(N160,1)=0,INT(N160)+下拉列表!$H$5,N160)&lt;=$B$1),AND(F160&lt;&gt;"等待他人",OR(COUNTIF(Q160,"*止损*")&gt;0,COUNTIF(Q160,"*阻塞*")&gt;0))),"1 立即处理",IF(OR(R160="强制今日",AND(F160="等待他人",M160=""),AND(ISNUMBER(M160),IF(MOD(M160,1)=0,INT(M160)+下拉列表!$H$2,M160)&lt;=$B$1),AND(ISNUMBER(N160),INT(IF(MOD(N160,1)=0,INT(N160)+下拉列表!$H$5,N160))=INT($B$1),IF(MOD(N160,1)=0,INT(N160)+下拉列表!$H$5,N160)&gt;$B$1),AND(ISNUMBER(N160),INT(IF(MOD(N160,1)=0,INT(N160)+下拉列表!$H$5,N160))=INT($B$1)+1),AND(COUNTIF(Q160,"*领导DDL*")&gt;0,ISNUMBER(N160),INT(IF(MOD(N160,1)=0,INT(N160)+下拉列表!$H$5,N160))&lt;=INT($B$1)+2)),"2 今日处理",IF(AND(F160="等待他人",ISNUMBER(M160),IF(MOD(M160,1)=0,INT(M160)+下拉列表!$H$2,M160)&gt;$B$1),"4 暂不关注","3 近期关注")))))</f>
        <v/>
      </c>
      <c r="C160" s="26"/>
      <c r="D160" s="26"/>
      <c r="E160" s="26"/>
      <c r="F160" s="26"/>
      <c r="G160" s="26"/>
      <c r="H160" s="26"/>
      <c r="I160" s="26"/>
      <c r="J160" s="26"/>
      <c r="K160" s="32"/>
      <c r="L160" s="32"/>
      <c r="M160" s="33"/>
      <c r="N160" s="33"/>
      <c r="O160" s="34" t="str">
        <f ca="1">IF(E160="","",IF(L160="","",MAX(0,INT($B$1)-INT(L160))))</f>
        <v/>
      </c>
      <c r="P160" s="26"/>
      <c r="Q160" s="26"/>
      <c r="R160" s="26"/>
    </row>
    <row r="161" spans="1:18">
      <c r="A161" s="26"/>
      <c r="B161" s="26" t="str">
        <f ca="1">IF(E161="","",IF(OR(F161="已完成",F161="已取消",F161="已移交"),"4 暂不关注",IF(OR(R161="强制立即",A161="▶",AND(ISNUMBER(N161),IF(MOD(N161,1)=0,INT(N161)+下拉列表!$H$5,N161)&lt;=$B$1),AND(F161&lt;&gt;"等待他人",OR(COUNTIF(Q161,"*止损*")&gt;0,COUNTIF(Q161,"*阻塞*")&gt;0))),"1 立即处理",IF(OR(R161="强制今日",AND(F161="等待他人",M161=""),AND(ISNUMBER(M161),IF(MOD(M161,1)=0,INT(M161)+下拉列表!$H$2,M161)&lt;=$B$1),AND(ISNUMBER(N161),INT(IF(MOD(N161,1)=0,INT(N161)+下拉列表!$H$5,N161))=INT($B$1),IF(MOD(N161,1)=0,INT(N161)+下拉列表!$H$5,N161)&gt;$B$1),AND(ISNUMBER(N161),INT(IF(MOD(N161,1)=0,INT(N161)+下拉列表!$H$5,N161))=INT($B$1)+1),AND(COUNTIF(Q161,"*领导DDL*")&gt;0,ISNUMBER(N161),INT(IF(MOD(N161,1)=0,INT(N161)+下拉列表!$H$5,N161))&lt;=INT($B$1)+2)),"2 今日处理",IF(AND(F161="等待他人",ISNUMBER(M161),IF(MOD(M161,1)=0,INT(M161)+下拉列表!$H$2,M161)&gt;$B$1),"4 暂不关注","3 近期关注")))))</f>
        <v/>
      </c>
      <c r="C161" s="26"/>
      <c r="D161" s="26"/>
      <c r="E161" s="26"/>
      <c r="F161" s="26"/>
      <c r="G161" s="26"/>
      <c r="H161" s="26"/>
      <c r="I161" s="26"/>
      <c r="J161" s="26"/>
      <c r="K161" s="32"/>
      <c r="L161" s="32"/>
      <c r="M161" s="33"/>
      <c r="N161" s="33"/>
      <c r="O161" s="34" t="str">
        <f ca="1">IF(E161="","",IF(L161="","",MAX(0,INT($B$1)-INT(L161))))</f>
        <v/>
      </c>
      <c r="P161" s="26"/>
      <c r="Q161" s="26"/>
      <c r="R161" s="26"/>
    </row>
    <row r="162" spans="1:18">
      <c r="A162" s="26"/>
      <c r="B162" s="26" t="str">
        <f ca="1">IF(E162="","",IF(OR(F162="已完成",F162="已取消",F162="已移交"),"4 暂不关注",IF(OR(R162="强制立即",A162="▶",AND(ISNUMBER(N162),IF(MOD(N162,1)=0,INT(N162)+下拉列表!$H$5,N162)&lt;=$B$1),AND(F162&lt;&gt;"等待他人",OR(COUNTIF(Q162,"*止损*")&gt;0,COUNTIF(Q162,"*阻塞*")&gt;0))),"1 立即处理",IF(OR(R162="强制今日",AND(F162="等待他人",M162=""),AND(ISNUMBER(M162),IF(MOD(M162,1)=0,INT(M162)+下拉列表!$H$2,M162)&lt;=$B$1),AND(ISNUMBER(N162),INT(IF(MOD(N162,1)=0,INT(N162)+下拉列表!$H$5,N162))=INT($B$1),IF(MOD(N162,1)=0,INT(N162)+下拉列表!$H$5,N162)&gt;$B$1),AND(ISNUMBER(N162),INT(IF(MOD(N162,1)=0,INT(N162)+下拉列表!$H$5,N162))=INT($B$1)+1),AND(COUNTIF(Q162,"*领导DDL*")&gt;0,ISNUMBER(N162),INT(IF(MOD(N162,1)=0,INT(N162)+下拉列表!$H$5,N162))&lt;=INT($B$1)+2)),"2 今日处理",IF(AND(F162="等待他人",ISNUMBER(M162),IF(MOD(M162,1)=0,INT(M162)+下拉列表!$H$2,M162)&gt;$B$1),"4 暂不关注","3 近期关注")))))</f>
        <v/>
      </c>
      <c r="C162" s="26"/>
      <c r="D162" s="26"/>
      <c r="E162" s="26"/>
      <c r="F162" s="26"/>
      <c r="G162" s="26"/>
      <c r="H162" s="26"/>
      <c r="I162" s="26"/>
      <c r="J162" s="26"/>
      <c r="K162" s="32"/>
      <c r="L162" s="32"/>
      <c r="M162" s="33"/>
      <c r="N162" s="33"/>
      <c r="O162" s="34" t="str">
        <f ca="1">IF(E162="","",IF(L162="","",MAX(0,INT($B$1)-INT(L162))))</f>
        <v/>
      </c>
      <c r="P162" s="26"/>
      <c r="Q162" s="26"/>
      <c r="R162" s="26"/>
    </row>
    <row r="163" spans="1:18">
      <c r="A163" s="26"/>
      <c r="B163" s="26" t="str">
        <f ca="1">IF(E163="","",IF(OR(F163="已完成",F163="已取消",F163="已移交"),"4 暂不关注",IF(OR(R163="强制立即",A163="▶",AND(ISNUMBER(N163),IF(MOD(N163,1)=0,INT(N163)+下拉列表!$H$5,N163)&lt;=$B$1),AND(F163&lt;&gt;"等待他人",OR(COUNTIF(Q163,"*止损*")&gt;0,COUNTIF(Q163,"*阻塞*")&gt;0))),"1 立即处理",IF(OR(R163="强制今日",AND(F163="等待他人",M163=""),AND(ISNUMBER(M163),IF(MOD(M163,1)=0,INT(M163)+下拉列表!$H$2,M163)&lt;=$B$1),AND(ISNUMBER(N163),INT(IF(MOD(N163,1)=0,INT(N163)+下拉列表!$H$5,N163))=INT($B$1),IF(MOD(N163,1)=0,INT(N163)+下拉列表!$H$5,N163)&gt;$B$1),AND(ISNUMBER(N163),INT(IF(MOD(N163,1)=0,INT(N163)+下拉列表!$H$5,N163))=INT($B$1)+1),AND(COUNTIF(Q163,"*领导DDL*")&gt;0,ISNUMBER(N163),INT(IF(MOD(N163,1)=0,INT(N163)+下拉列表!$H$5,N163))&lt;=INT($B$1)+2)),"2 今日处理",IF(AND(F163="等待他人",ISNUMBER(M163),IF(MOD(M163,1)=0,INT(M163)+下拉列表!$H$2,M163)&gt;$B$1),"4 暂不关注","3 近期关注")))))</f>
        <v/>
      </c>
      <c r="C163" s="26"/>
      <c r="D163" s="26"/>
      <c r="E163" s="26"/>
      <c r="F163" s="26"/>
      <c r="G163" s="26"/>
      <c r="H163" s="26"/>
      <c r="I163" s="26"/>
      <c r="J163" s="26"/>
      <c r="K163" s="32"/>
      <c r="L163" s="32"/>
      <c r="M163" s="33"/>
      <c r="N163" s="33"/>
      <c r="O163" s="34" t="str">
        <f ca="1">IF(E163="","",IF(L163="","",MAX(0,INT($B$1)-INT(L163))))</f>
        <v/>
      </c>
      <c r="P163" s="26"/>
      <c r="Q163" s="26"/>
      <c r="R163" s="26"/>
    </row>
    <row r="164" spans="1:18">
      <c r="A164" s="26"/>
      <c r="B164" s="26" t="str">
        <f ca="1">IF(E164="","",IF(OR(F164="已完成",F164="已取消",F164="已移交"),"4 暂不关注",IF(OR(R164="强制立即",A164="▶",AND(ISNUMBER(N164),IF(MOD(N164,1)=0,INT(N164)+下拉列表!$H$5,N164)&lt;=$B$1),AND(F164&lt;&gt;"等待他人",OR(COUNTIF(Q164,"*止损*")&gt;0,COUNTIF(Q164,"*阻塞*")&gt;0))),"1 立即处理",IF(OR(R164="强制今日",AND(F164="等待他人",M164=""),AND(ISNUMBER(M164),IF(MOD(M164,1)=0,INT(M164)+下拉列表!$H$2,M164)&lt;=$B$1),AND(ISNUMBER(N164),INT(IF(MOD(N164,1)=0,INT(N164)+下拉列表!$H$5,N164))=INT($B$1),IF(MOD(N164,1)=0,INT(N164)+下拉列表!$H$5,N164)&gt;$B$1),AND(ISNUMBER(N164),INT(IF(MOD(N164,1)=0,INT(N164)+下拉列表!$H$5,N164))=INT($B$1)+1),AND(COUNTIF(Q164,"*领导DDL*")&gt;0,ISNUMBER(N164),INT(IF(MOD(N164,1)=0,INT(N164)+下拉列表!$H$5,N164))&lt;=INT($B$1)+2)),"2 今日处理",IF(AND(F164="等待他人",ISNUMBER(M164),IF(MOD(M164,1)=0,INT(M164)+下拉列表!$H$2,M164)&gt;$B$1),"4 暂不关注","3 近期关注")))))</f>
        <v/>
      </c>
      <c r="C164" s="26"/>
      <c r="D164" s="26"/>
      <c r="E164" s="26"/>
      <c r="F164" s="26"/>
      <c r="G164" s="26"/>
      <c r="H164" s="26"/>
      <c r="I164" s="26"/>
      <c r="J164" s="26"/>
      <c r="K164" s="32"/>
      <c r="L164" s="32"/>
      <c r="M164" s="33"/>
      <c r="N164" s="33"/>
      <c r="O164" s="34" t="str">
        <f ca="1">IF(E164="","",IF(L164="","",MAX(0,INT($B$1)-INT(L164))))</f>
        <v/>
      </c>
      <c r="P164" s="26"/>
      <c r="Q164" s="26"/>
      <c r="R164" s="26"/>
    </row>
    <row r="165" spans="1:18">
      <c r="A165" s="26"/>
      <c r="B165" s="26" t="str">
        <f ca="1">IF(E165="","",IF(OR(F165="已完成",F165="已取消",F165="已移交"),"4 暂不关注",IF(OR(R165="强制立即",A165="▶",AND(ISNUMBER(N165),IF(MOD(N165,1)=0,INT(N165)+下拉列表!$H$5,N165)&lt;=$B$1),AND(F165&lt;&gt;"等待他人",OR(COUNTIF(Q165,"*止损*")&gt;0,COUNTIF(Q165,"*阻塞*")&gt;0))),"1 立即处理",IF(OR(R165="强制今日",AND(F165="等待他人",M165=""),AND(ISNUMBER(M165),IF(MOD(M165,1)=0,INT(M165)+下拉列表!$H$2,M165)&lt;=$B$1),AND(ISNUMBER(N165),INT(IF(MOD(N165,1)=0,INT(N165)+下拉列表!$H$5,N165))=INT($B$1),IF(MOD(N165,1)=0,INT(N165)+下拉列表!$H$5,N165)&gt;$B$1),AND(ISNUMBER(N165),INT(IF(MOD(N165,1)=0,INT(N165)+下拉列表!$H$5,N165))=INT($B$1)+1),AND(COUNTIF(Q165,"*领导DDL*")&gt;0,ISNUMBER(N165),INT(IF(MOD(N165,1)=0,INT(N165)+下拉列表!$H$5,N165))&lt;=INT($B$1)+2)),"2 今日处理",IF(AND(F165="等待他人",ISNUMBER(M165),IF(MOD(M165,1)=0,INT(M165)+下拉列表!$H$2,M165)&gt;$B$1),"4 暂不关注","3 近期关注")))))</f>
        <v/>
      </c>
      <c r="C165" s="26"/>
      <c r="D165" s="26"/>
      <c r="E165" s="26"/>
      <c r="F165" s="26"/>
      <c r="G165" s="26"/>
      <c r="H165" s="26"/>
      <c r="I165" s="26"/>
      <c r="J165" s="26"/>
      <c r="K165" s="32"/>
      <c r="L165" s="32"/>
      <c r="M165" s="33"/>
      <c r="N165" s="33"/>
      <c r="O165" s="34" t="str">
        <f ca="1">IF(E165="","",IF(L165="","",MAX(0,INT($B$1)-INT(L165))))</f>
        <v/>
      </c>
      <c r="P165" s="26"/>
      <c r="Q165" s="26"/>
      <c r="R165" s="26"/>
    </row>
    <row r="166" spans="1:18">
      <c r="A166" s="26"/>
      <c r="B166" s="26" t="str">
        <f ca="1">IF(E166="","",IF(OR(F166="已完成",F166="已取消",F166="已移交"),"4 暂不关注",IF(OR(R166="强制立即",A166="▶",AND(ISNUMBER(N166),IF(MOD(N166,1)=0,INT(N166)+下拉列表!$H$5,N166)&lt;=$B$1),AND(F166&lt;&gt;"等待他人",OR(COUNTIF(Q166,"*止损*")&gt;0,COUNTIF(Q166,"*阻塞*")&gt;0))),"1 立即处理",IF(OR(R166="强制今日",AND(F166="等待他人",M166=""),AND(ISNUMBER(M166),IF(MOD(M166,1)=0,INT(M166)+下拉列表!$H$2,M166)&lt;=$B$1),AND(ISNUMBER(N166),INT(IF(MOD(N166,1)=0,INT(N166)+下拉列表!$H$5,N166))=INT($B$1),IF(MOD(N166,1)=0,INT(N166)+下拉列表!$H$5,N166)&gt;$B$1),AND(ISNUMBER(N166),INT(IF(MOD(N166,1)=0,INT(N166)+下拉列表!$H$5,N166))=INT($B$1)+1),AND(COUNTIF(Q166,"*领导DDL*")&gt;0,ISNUMBER(N166),INT(IF(MOD(N166,1)=0,INT(N166)+下拉列表!$H$5,N166))&lt;=INT($B$1)+2)),"2 今日处理",IF(AND(F166="等待他人",ISNUMBER(M166),IF(MOD(M166,1)=0,INT(M166)+下拉列表!$H$2,M166)&gt;$B$1),"4 暂不关注","3 近期关注")))))</f>
        <v/>
      </c>
      <c r="C166" s="26"/>
      <c r="D166" s="26"/>
      <c r="E166" s="26"/>
      <c r="F166" s="26"/>
      <c r="G166" s="26"/>
      <c r="H166" s="26"/>
      <c r="I166" s="26"/>
      <c r="J166" s="26"/>
      <c r="K166" s="32"/>
      <c r="L166" s="32"/>
      <c r="M166" s="33"/>
      <c r="N166" s="33"/>
      <c r="O166" s="34" t="str">
        <f ca="1">IF(E166="","",IF(L166="","",MAX(0,INT($B$1)-INT(L166))))</f>
        <v/>
      </c>
      <c r="P166" s="26"/>
      <c r="Q166" s="26"/>
      <c r="R166" s="26"/>
    </row>
    <row r="167" spans="1:18">
      <c r="A167" s="26"/>
      <c r="B167" s="26" t="str">
        <f ca="1">IF(E167="","",IF(OR(F167="已完成",F167="已取消",F167="已移交"),"4 暂不关注",IF(OR(R167="强制立即",A167="▶",AND(ISNUMBER(N167),IF(MOD(N167,1)=0,INT(N167)+下拉列表!$H$5,N167)&lt;=$B$1),AND(F167&lt;&gt;"等待他人",OR(COUNTIF(Q167,"*止损*")&gt;0,COUNTIF(Q167,"*阻塞*")&gt;0))),"1 立即处理",IF(OR(R167="强制今日",AND(F167="等待他人",M167=""),AND(ISNUMBER(M167),IF(MOD(M167,1)=0,INT(M167)+下拉列表!$H$2,M167)&lt;=$B$1),AND(ISNUMBER(N167),INT(IF(MOD(N167,1)=0,INT(N167)+下拉列表!$H$5,N167))=INT($B$1),IF(MOD(N167,1)=0,INT(N167)+下拉列表!$H$5,N167)&gt;$B$1),AND(ISNUMBER(N167),INT(IF(MOD(N167,1)=0,INT(N167)+下拉列表!$H$5,N167))=INT($B$1)+1),AND(COUNTIF(Q167,"*领导DDL*")&gt;0,ISNUMBER(N167),INT(IF(MOD(N167,1)=0,INT(N167)+下拉列表!$H$5,N167))&lt;=INT($B$1)+2)),"2 今日处理",IF(AND(F167="等待他人",ISNUMBER(M167),IF(MOD(M167,1)=0,INT(M167)+下拉列表!$H$2,M167)&gt;$B$1),"4 暂不关注","3 近期关注")))))</f>
        <v/>
      </c>
      <c r="C167" s="26"/>
      <c r="D167" s="26"/>
      <c r="E167" s="26"/>
      <c r="F167" s="26"/>
      <c r="G167" s="26"/>
      <c r="H167" s="26"/>
      <c r="I167" s="26"/>
      <c r="J167" s="26"/>
      <c r="K167" s="32"/>
      <c r="L167" s="32"/>
      <c r="M167" s="33"/>
      <c r="N167" s="33"/>
      <c r="O167" s="34" t="str">
        <f ca="1">IF(E167="","",IF(L167="","",MAX(0,INT($B$1)-INT(L167))))</f>
        <v/>
      </c>
      <c r="P167" s="26"/>
      <c r="Q167" s="26"/>
      <c r="R167" s="26"/>
    </row>
    <row r="168" spans="1:18">
      <c r="A168" s="26"/>
      <c r="B168" s="26" t="str">
        <f ca="1">IF(E168="","",IF(OR(F168="已完成",F168="已取消",F168="已移交"),"4 暂不关注",IF(OR(R168="强制立即",A168="▶",AND(ISNUMBER(N168),IF(MOD(N168,1)=0,INT(N168)+下拉列表!$H$5,N168)&lt;=$B$1),AND(F168&lt;&gt;"等待他人",OR(COUNTIF(Q168,"*止损*")&gt;0,COUNTIF(Q168,"*阻塞*")&gt;0))),"1 立即处理",IF(OR(R168="强制今日",AND(F168="等待他人",M168=""),AND(ISNUMBER(M168),IF(MOD(M168,1)=0,INT(M168)+下拉列表!$H$2,M168)&lt;=$B$1),AND(ISNUMBER(N168),INT(IF(MOD(N168,1)=0,INT(N168)+下拉列表!$H$5,N168))=INT($B$1),IF(MOD(N168,1)=0,INT(N168)+下拉列表!$H$5,N168)&gt;$B$1),AND(ISNUMBER(N168),INT(IF(MOD(N168,1)=0,INT(N168)+下拉列表!$H$5,N168))=INT($B$1)+1),AND(COUNTIF(Q168,"*领导DDL*")&gt;0,ISNUMBER(N168),INT(IF(MOD(N168,1)=0,INT(N168)+下拉列表!$H$5,N168))&lt;=INT($B$1)+2)),"2 今日处理",IF(AND(F168="等待他人",ISNUMBER(M168),IF(MOD(M168,1)=0,INT(M168)+下拉列表!$H$2,M168)&gt;$B$1),"4 暂不关注","3 近期关注")))))</f>
        <v/>
      </c>
      <c r="C168" s="26"/>
      <c r="D168" s="26"/>
      <c r="E168" s="26"/>
      <c r="F168" s="26"/>
      <c r="G168" s="26"/>
      <c r="H168" s="26"/>
      <c r="I168" s="26"/>
      <c r="J168" s="26"/>
      <c r="K168" s="32"/>
      <c r="L168" s="32"/>
      <c r="M168" s="33"/>
      <c r="N168" s="33"/>
      <c r="O168" s="34" t="str">
        <f ca="1">IF(E168="","",IF(L168="","",MAX(0,INT($B$1)-INT(L168))))</f>
        <v/>
      </c>
      <c r="P168" s="26"/>
      <c r="Q168" s="26"/>
      <c r="R168" s="26"/>
    </row>
    <row r="169" spans="1:18">
      <c r="A169" s="26"/>
      <c r="B169" s="26" t="str">
        <f ca="1">IF(E169="","",IF(OR(F169="已完成",F169="已取消",F169="已移交"),"4 暂不关注",IF(OR(R169="强制立即",A169="▶",AND(ISNUMBER(N169),IF(MOD(N169,1)=0,INT(N169)+下拉列表!$H$5,N169)&lt;=$B$1),AND(F169&lt;&gt;"等待他人",OR(COUNTIF(Q169,"*止损*")&gt;0,COUNTIF(Q169,"*阻塞*")&gt;0))),"1 立即处理",IF(OR(R169="强制今日",AND(F169="等待他人",M169=""),AND(ISNUMBER(M169),IF(MOD(M169,1)=0,INT(M169)+下拉列表!$H$2,M169)&lt;=$B$1),AND(ISNUMBER(N169),INT(IF(MOD(N169,1)=0,INT(N169)+下拉列表!$H$5,N169))=INT($B$1),IF(MOD(N169,1)=0,INT(N169)+下拉列表!$H$5,N169)&gt;$B$1),AND(ISNUMBER(N169),INT(IF(MOD(N169,1)=0,INT(N169)+下拉列表!$H$5,N169))=INT($B$1)+1),AND(COUNTIF(Q169,"*领导DDL*")&gt;0,ISNUMBER(N169),INT(IF(MOD(N169,1)=0,INT(N169)+下拉列表!$H$5,N169))&lt;=INT($B$1)+2)),"2 今日处理",IF(AND(F169="等待他人",ISNUMBER(M169),IF(MOD(M169,1)=0,INT(M169)+下拉列表!$H$2,M169)&gt;$B$1),"4 暂不关注","3 近期关注")))))</f>
        <v/>
      </c>
      <c r="C169" s="26"/>
      <c r="D169" s="26"/>
      <c r="E169" s="26"/>
      <c r="F169" s="26"/>
      <c r="G169" s="26"/>
      <c r="H169" s="26"/>
      <c r="I169" s="26"/>
      <c r="J169" s="26"/>
      <c r="K169" s="32"/>
      <c r="L169" s="32"/>
      <c r="M169" s="33"/>
      <c r="N169" s="33"/>
      <c r="O169" s="34" t="str">
        <f ca="1">IF(E169="","",IF(L169="","",MAX(0,INT($B$1)-INT(L169))))</f>
        <v/>
      </c>
      <c r="P169" s="26"/>
      <c r="Q169" s="26"/>
      <c r="R169" s="26"/>
    </row>
    <row r="170" spans="1:18">
      <c r="A170" s="26"/>
      <c r="B170" s="26" t="str">
        <f ca="1">IF(E170="","",IF(OR(F170="已完成",F170="已取消",F170="已移交"),"4 暂不关注",IF(OR(R170="强制立即",A170="▶",AND(ISNUMBER(N170),IF(MOD(N170,1)=0,INT(N170)+下拉列表!$H$5,N170)&lt;=$B$1),AND(F170&lt;&gt;"等待他人",OR(COUNTIF(Q170,"*止损*")&gt;0,COUNTIF(Q170,"*阻塞*")&gt;0))),"1 立即处理",IF(OR(R170="强制今日",AND(F170="等待他人",M170=""),AND(ISNUMBER(M170),IF(MOD(M170,1)=0,INT(M170)+下拉列表!$H$2,M170)&lt;=$B$1),AND(ISNUMBER(N170),INT(IF(MOD(N170,1)=0,INT(N170)+下拉列表!$H$5,N170))=INT($B$1),IF(MOD(N170,1)=0,INT(N170)+下拉列表!$H$5,N170)&gt;$B$1),AND(ISNUMBER(N170),INT(IF(MOD(N170,1)=0,INT(N170)+下拉列表!$H$5,N170))=INT($B$1)+1),AND(COUNTIF(Q170,"*领导DDL*")&gt;0,ISNUMBER(N170),INT(IF(MOD(N170,1)=0,INT(N170)+下拉列表!$H$5,N170))&lt;=INT($B$1)+2)),"2 今日处理",IF(AND(F170="等待他人",ISNUMBER(M170),IF(MOD(M170,1)=0,INT(M170)+下拉列表!$H$2,M170)&gt;$B$1),"4 暂不关注","3 近期关注")))))</f>
        <v/>
      </c>
      <c r="C170" s="26"/>
      <c r="D170" s="26"/>
      <c r="E170" s="26"/>
      <c r="F170" s="26"/>
      <c r="G170" s="26"/>
      <c r="H170" s="26"/>
      <c r="I170" s="26"/>
      <c r="J170" s="26"/>
      <c r="K170" s="32"/>
      <c r="L170" s="32"/>
      <c r="M170" s="33"/>
      <c r="N170" s="33"/>
      <c r="O170" s="34" t="str">
        <f ca="1">IF(E170="","",IF(L170="","",MAX(0,INT($B$1)-INT(L170))))</f>
        <v/>
      </c>
      <c r="P170" s="26"/>
      <c r="Q170" s="26"/>
      <c r="R170" s="26"/>
    </row>
    <row r="171" spans="1:18">
      <c r="A171" s="26"/>
      <c r="B171" s="26" t="str">
        <f ca="1">IF(E171="","",IF(OR(F171="已完成",F171="已取消",F171="已移交"),"4 暂不关注",IF(OR(R171="强制立即",A171="▶",AND(ISNUMBER(N171),IF(MOD(N171,1)=0,INT(N171)+下拉列表!$H$5,N171)&lt;=$B$1),AND(F171&lt;&gt;"等待他人",OR(COUNTIF(Q171,"*止损*")&gt;0,COUNTIF(Q171,"*阻塞*")&gt;0))),"1 立即处理",IF(OR(R171="强制今日",AND(F171="等待他人",M171=""),AND(ISNUMBER(M171),IF(MOD(M171,1)=0,INT(M171)+下拉列表!$H$2,M171)&lt;=$B$1),AND(ISNUMBER(N171),INT(IF(MOD(N171,1)=0,INT(N171)+下拉列表!$H$5,N171))=INT($B$1),IF(MOD(N171,1)=0,INT(N171)+下拉列表!$H$5,N171)&gt;$B$1),AND(ISNUMBER(N171),INT(IF(MOD(N171,1)=0,INT(N171)+下拉列表!$H$5,N171))=INT($B$1)+1),AND(COUNTIF(Q171,"*领导DDL*")&gt;0,ISNUMBER(N171),INT(IF(MOD(N171,1)=0,INT(N171)+下拉列表!$H$5,N171))&lt;=INT($B$1)+2)),"2 今日处理",IF(AND(F171="等待他人",ISNUMBER(M171),IF(MOD(M171,1)=0,INT(M171)+下拉列表!$H$2,M171)&gt;$B$1),"4 暂不关注","3 近期关注")))))</f>
        <v/>
      </c>
      <c r="C171" s="26"/>
      <c r="D171" s="26"/>
      <c r="E171" s="26"/>
      <c r="F171" s="26"/>
      <c r="G171" s="26"/>
      <c r="H171" s="26"/>
      <c r="I171" s="26"/>
      <c r="J171" s="26"/>
      <c r="K171" s="32"/>
      <c r="L171" s="32"/>
      <c r="M171" s="33"/>
      <c r="N171" s="33"/>
      <c r="O171" s="34" t="str">
        <f ca="1">IF(E171="","",IF(L171="","",MAX(0,INT($B$1)-INT(L171))))</f>
        <v/>
      </c>
      <c r="P171" s="26"/>
      <c r="Q171" s="26"/>
      <c r="R171" s="26"/>
    </row>
    <row r="172" spans="1:18">
      <c r="A172" s="26"/>
      <c r="B172" s="26" t="str">
        <f ca="1">IF(E172="","",IF(OR(F172="已完成",F172="已取消",F172="已移交"),"4 暂不关注",IF(OR(R172="强制立即",A172="▶",AND(ISNUMBER(N172),IF(MOD(N172,1)=0,INT(N172)+下拉列表!$H$5,N172)&lt;=$B$1),AND(F172&lt;&gt;"等待他人",OR(COUNTIF(Q172,"*止损*")&gt;0,COUNTIF(Q172,"*阻塞*")&gt;0))),"1 立即处理",IF(OR(R172="强制今日",AND(F172="等待他人",M172=""),AND(ISNUMBER(M172),IF(MOD(M172,1)=0,INT(M172)+下拉列表!$H$2,M172)&lt;=$B$1),AND(ISNUMBER(N172),INT(IF(MOD(N172,1)=0,INT(N172)+下拉列表!$H$5,N172))=INT($B$1),IF(MOD(N172,1)=0,INT(N172)+下拉列表!$H$5,N172)&gt;$B$1),AND(ISNUMBER(N172),INT(IF(MOD(N172,1)=0,INT(N172)+下拉列表!$H$5,N172))=INT($B$1)+1),AND(COUNTIF(Q172,"*领导DDL*")&gt;0,ISNUMBER(N172),INT(IF(MOD(N172,1)=0,INT(N172)+下拉列表!$H$5,N172))&lt;=INT($B$1)+2)),"2 今日处理",IF(AND(F172="等待他人",ISNUMBER(M172),IF(MOD(M172,1)=0,INT(M172)+下拉列表!$H$2,M172)&gt;$B$1),"4 暂不关注","3 近期关注")))))</f>
        <v/>
      </c>
      <c r="C172" s="26"/>
      <c r="D172" s="26"/>
      <c r="E172" s="26"/>
      <c r="F172" s="26"/>
      <c r="G172" s="26"/>
      <c r="H172" s="26"/>
      <c r="I172" s="26"/>
      <c r="J172" s="26"/>
      <c r="K172" s="32"/>
      <c r="L172" s="32"/>
      <c r="M172" s="33"/>
      <c r="N172" s="33"/>
      <c r="O172" s="34" t="str">
        <f ca="1">IF(E172="","",IF(L172="","",MAX(0,INT($B$1)-INT(L172))))</f>
        <v/>
      </c>
      <c r="P172" s="26"/>
      <c r="Q172" s="26"/>
      <c r="R172" s="26"/>
    </row>
    <row r="173" spans="1:18">
      <c r="A173" s="26"/>
      <c r="B173" s="26" t="str">
        <f ca="1">IF(E173="","",IF(OR(F173="已完成",F173="已取消",F173="已移交"),"4 暂不关注",IF(OR(R173="强制立即",A173="▶",AND(ISNUMBER(N173),IF(MOD(N173,1)=0,INT(N173)+下拉列表!$H$5,N173)&lt;=$B$1),AND(F173&lt;&gt;"等待他人",OR(COUNTIF(Q173,"*止损*")&gt;0,COUNTIF(Q173,"*阻塞*")&gt;0))),"1 立即处理",IF(OR(R173="强制今日",AND(F173="等待他人",M173=""),AND(ISNUMBER(M173),IF(MOD(M173,1)=0,INT(M173)+下拉列表!$H$2,M173)&lt;=$B$1),AND(ISNUMBER(N173),INT(IF(MOD(N173,1)=0,INT(N173)+下拉列表!$H$5,N173))=INT($B$1),IF(MOD(N173,1)=0,INT(N173)+下拉列表!$H$5,N173)&gt;$B$1),AND(ISNUMBER(N173),INT(IF(MOD(N173,1)=0,INT(N173)+下拉列表!$H$5,N173))=INT($B$1)+1),AND(COUNTIF(Q173,"*领导DDL*")&gt;0,ISNUMBER(N173),INT(IF(MOD(N173,1)=0,INT(N173)+下拉列表!$H$5,N173))&lt;=INT($B$1)+2)),"2 今日处理",IF(AND(F173="等待他人",ISNUMBER(M173),IF(MOD(M173,1)=0,INT(M173)+下拉列表!$H$2,M173)&gt;$B$1),"4 暂不关注","3 近期关注")))))</f>
        <v/>
      </c>
      <c r="C173" s="26"/>
      <c r="D173" s="26"/>
      <c r="E173" s="26"/>
      <c r="F173" s="26"/>
      <c r="G173" s="26"/>
      <c r="H173" s="26"/>
      <c r="I173" s="26"/>
      <c r="J173" s="26"/>
      <c r="K173" s="32"/>
      <c r="L173" s="32"/>
      <c r="M173" s="33"/>
      <c r="N173" s="33"/>
      <c r="O173" s="34" t="str">
        <f ca="1">IF(E173="","",IF(L173="","",MAX(0,INT($B$1)-INT(L173))))</f>
        <v/>
      </c>
      <c r="P173" s="26"/>
      <c r="Q173" s="26"/>
      <c r="R173" s="26"/>
    </row>
    <row r="174" spans="1:18">
      <c r="A174" s="26"/>
      <c r="B174" s="26" t="str">
        <f ca="1">IF(E174="","",IF(OR(F174="已完成",F174="已取消",F174="已移交"),"4 暂不关注",IF(OR(R174="强制立即",A174="▶",AND(ISNUMBER(N174),IF(MOD(N174,1)=0,INT(N174)+下拉列表!$H$5,N174)&lt;=$B$1),AND(F174&lt;&gt;"等待他人",OR(COUNTIF(Q174,"*止损*")&gt;0,COUNTIF(Q174,"*阻塞*")&gt;0))),"1 立即处理",IF(OR(R174="强制今日",AND(F174="等待他人",M174=""),AND(ISNUMBER(M174),IF(MOD(M174,1)=0,INT(M174)+下拉列表!$H$2,M174)&lt;=$B$1),AND(ISNUMBER(N174),INT(IF(MOD(N174,1)=0,INT(N174)+下拉列表!$H$5,N174))=INT($B$1),IF(MOD(N174,1)=0,INT(N174)+下拉列表!$H$5,N174)&gt;$B$1),AND(ISNUMBER(N174),INT(IF(MOD(N174,1)=0,INT(N174)+下拉列表!$H$5,N174))=INT($B$1)+1),AND(COUNTIF(Q174,"*领导DDL*")&gt;0,ISNUMBER(N174),INT(IF(MOD(N174,1)=0,INT(N174)+下拉列表!$H$5,N174))&lt;=INT($B$1)+2)),"2 今日处理",IF(AND(F174="等待他人",ISNUMBER(M174),IF(MOD(M174,1)=0,INT(M174)+下拉列表!$H$2,M174)&gt;$B$1),"4 暂不关注","3 近期关注")))))</f>
        <v/>
      </c>
      <c r="C174" s="26"/>
      <c r="D174" s="26"/>
      <c r="E174" s="26"/>
      <c r="F174" s="26"/>
      <c r="G174" s="26"/>
      <c r="H174" s="26"/>
      <c r="I174" s="26"/>
      <c r="J174" s="26"/>
      <c r="K174" s="32"/>
      <c r="L174" s="32"/>
      <c r="M174" s="33"/>
      <c r="N174" s="33"/>
      <c r="O174" s="34" t="str">
        <f ca="1">IF(E174="","",IF(L174="","",MAX(0,INT($B$1)-INT(L174))))</f>
        <v/>
      </c>
      <c r="P174" s="26"/>
      <c r="Q174" s="26"/>
      <c r="R174" s="26"/>
    </row>
    <row r="175" spans="1:18">
      <c r="A175" s="26"/>
      <c r="B175" s="26" t="str">
        <f ca="1">IF(E175="","",IF(OR(F175="已完成",F175="已取消",F175="已移交"),"4 暂不关注",IF(OR(R175="强制立即",A175="▶",AND(ISNUMBER(N175),IF(MOD(N175,1)=0,INT(N175)+下拉列表!$H$5,N175)&lt;=$B$1),AND(F175&lt;&gt;"等待他人",OR(COUNTIF(Q175,"*止损*")&gt;0,COUNTIF(Q175,"*阻塞*")&gt;0))),"1 立即处理",IF(OR(R175="强制今日",AND(F175="等待他人",M175=""),AND(ISNUMBER(M175),IF(MOD(M175,1)=0,INT(M175)+下拉列表!$H$2,M175)&lt;=$B$1),AND(ISNUMBER(N175),INT(IF(MOD(N175,1)=0,INT(N175)+下拉列表!$H$5,N175))=INT($B$1),IF(MOD(N175,1)=0,INT(N175)+下拉列表!$H$5,N175)&gt;$B$1),AND(ISNUMBER(N175),INT(IF(MOD(N175,1)=0,INT(N175)+下拉列表!$H$5,N175))=INT($B$1)+1),AND(COUNTIF(Q175,"*领导DDL*")&gt;0,ISNUMBER(N175),INT(IF(MOD(N175,1)=0,INT(N175)+下拉列表!$H$5,N175))&lt;=INT($B$1)+2)),"2 今日处理",IF(AND(F175="等待他人",ISNUMBER(M175),IF(MOD(M175,1)=0,INT(M175)+下拉列表!$H$2,M175)&gt;$B$1),"4 暂不关注","3 近期关注")))))</f>
        <v/>
      </c>
      <c r="C175" s="26"/>
      <c r="D175" s="26"/>
      <c r="E175" s="26"/>
      <c r="F175" s="26"/>
      <c r="G175" s="26"/>
      <c r="H175" s="26"/>
      <c r="I175" s="26"/>
      <c r="J175" s="26"/>
      <c r="K175" s="32"/>
      <c r="L175" s="32"/>
      <c r="M175" s="33"/>
      <c r="N175" s="33"/>
      <c r="O175" s="34" t="str">
        <f ca="1">IF(E175="","",IF(L175="","",MAX(0,INT($B$1)-INT(L175))))</f>
        <v/>
      </c>
      <c r="P175" s="26"/>
      <c r="Q175" s="26"/>
      <c r="R175" s="26"/>
    </row>
    <row r="176" spans="1:18">
      <c r="A176" s="26"/>
      <c r="B176" s="26" t="str">
        <f ca="1">IF(E176="","",IF(OR(F176="已完成",F176="已取消",F176="已移交"),"4 暂不关注",IF(OR(R176="强制立即",A176="▶",AND(ISNUMBER(N176),IF(MOD(N176,1)=0,INT(N176)+下拉列表!$H$5,N176)&lt;=$B$1),AND(F176&lt;&gt;"等待他人",OR(COUNTIF(Q176,"*止损*")&gt;0,COUNTIF(Q176,"*阻塞*")&gt;0))),"1 立即处理",IF(OR(R176="强制今日",AND(F176="等待他人",M176=""),AND(ISNUMBER(M176),IF(MOD(M176,1)=0,INT(M176)+下拉列表!$H$2,M176)&lt;=$B$1),AND(ISNUMBER(N176),INT(IF(MOD(N176,1)=0,INT(N176)+下拉列表!$H$5,N176))=INT($B$1),IF(MOD(N176,1)=0,INT(N176)+下拉列表!$H$5,N176)&gt;$B$1),AND(ISNUMBER(N176),INT(IF(MOD(N176,1)=0,INT(N176)+下拉列表!$H$5,N176))=INT($B$1)+1),AND(COUNTIF(Q176,"*领导DDL*")&gt;0,ISNUMBER(N176),INT(IF(MOD(N176,1)=0,INT(N176)+下拉列表!$H$5,N176))&lt;=INT($B$1)+2)),"2 今日处理",IF(AND(F176="等待他人",ISNUMBER(M176),IF(MOD(M176,1)=0,INT(M176)+下拉列表!$H$2,M176)&gt;$B$1),"4 暂不关注","3 近期关注")))))</f>
        <v/>
      </c>
      <c r="C176" s="26"/>
      <c r="D176" s="26"/>
      <c r="E176" s="26"/>
      <c r="F176" s="26"/>
      <c r="G176" s="26"/>
      <c r="H176" s="26"/>
      <c r="I176" s="26"/>
      <c r="J176" s="26"/>
      <c r="K176" s="32"/>
      <c r="L176" s="32"/>
      <c r="M176" s="33"/>
      <c r="N176" s="33"/>
      <c r="O176" s="34" t="str">
        <f ca="1">IF(E176="","",IF(L176="","",MAX(0,INT($B$1)-INT(L176))))</f>
        <v/>
      </c>
      <c r="P176" s="26"/>
      <c r="Q176" s="26"/>
      <c r="R176" s="26"/>
    </row>
    <row r="177" spans="1:18">
      <c r="A177" s="26"/>
      <c r="B177" s="26" t="str">
        <f ca="1">IF(E177="","",IF(OR(F177="已完成",F177="已取消",F177="已移交"),"4 暂不关注",IF(OR(R177="强制立即",A177="▶",AND(ISNUMBER(N177),IF(MOD(N177,1)=0,INT(N177)+下拉列表!$H$5,N177)&lt;=$B$1),AND(F177&lt;&gt;"等待他人",OR(COUNTIF(Q177,"*止损*")&gt;0,COUNTIF(Q177,"*阻塞*")&gt;0))),"1 立即处理",IF(OR(R177="强制今日",AND(F177="等待他人",M177=""),AND(ISNUMBER(M177),IF(MOD(M177,1)=0,INT(M177)+下拉列表!$H$2,M177)&lt;=$B$1),AND(ISNUMBER(N177),INT(IF(MOD(N177,1)=0,INT(N177)+下拉列表!$H$5,N177))=INT($B$1),IF(MOD(N177,1)=0,INT(N177)+下拉列表!$H$5,N177)&gt;$B$1),AND(ISNUMBER(N177),INT(IF(MOD(N177,1)=0,INT(N177)+下拉列表!$H$5,N177))=INT($B$1)+1),AND(COUNTIF(Q177,"*领导DDL*")&gt;0,ISNUMBER(N177),INT(IF(MOD(N177,1)=0,INT(N177)+下拉列表!$H$5,N177))&lt;=INT($B$1)+2)),"2 今日处理",IF(AND(F177="等待他人",ISNUMBER(M177),IF(MOD(M177,1)=0,INT(M177)+下拉列表!$H$2,M177)&gt;$B$1),"4 暂不关注","3 近期关注")))))</f>
        <v/>
      </c>
      <c r="C177" s="26"/>
      <c r="D177" s="26"/>
      <c r="E177" s="26"/>
      <c r="F177" s="26"/>
      <c r="G177" s="26"/>
      <c r="H177" s="26"/>
      <c r="I177" s="26"/>
      <c r="J177" s="26"/>
      <c r="K177" s="32"/>
      <c r="L177" s="32"/>
      <c r="M177" s="33"/>
      <c r="N177" s="33"/>
      <c r="O177" s="34" t="str">
        <f ca="1">IF(E177="","",IF(L177="","",MAX(0,INT($B$1)-INT(L177))))</f>
        <v/>
      </c>
      <c r="P177" s="26"/>
      <c r="Q177" s="26"/>
      <c r="R177" s="26"/>
    </row>
    <row r="178" spans="1:18">
      <c r="A178" s="26"/>
      <c r="B178" s="26" t="str">
        <f ca="1">IF(E178="","",IF(OR(F178="已完成",F178="已取消",F178="已移交"),"4 暂不关注",IF(OR(R178="强制立即",A178="▶",AND(ISNUMBER(N178),IF(MOD(N178,1)=0,INT(N178)+下拉列表!$H$5,N178)&lt;=$B$1),AND(F178&lt;&gt;"等待他人",OR(COUNTIF(Q178,"*止损*")&gt;0,COUNTIF(Q178,"*阻塞*")&gt;0))),"1 立即处理",IF(OR(R178="强制今日",AND(F178="等待他人",M178=""),AND(ISNUMBER(M178),IF(MOD(M178,1)=0,INT(M178)+下拉列表!$H$2,M178)&lt;=$B$1),AND(ISNUMBER(N178),INT(IF(MOD(N178,1)=0,INT(N178)+下拉列表!$H$5,N178))=INT($B$1),IF(MOD(N178,1)=0,INT(N178)+下拉列表!$H$5,N178)&gt;$B$1),AND(ISNUMBER(N178),INT(IF(MOD(N178,1)=0,INT(N178)+下拉列表!$H$5,N178))=INT($B$1)+1),AND(COUNTIF(Q178,"*领导DDL*")&gt;0,ISNUMBER(N178),INT(IF(MOD(N178,1)=0,INT(N178)+下拉列表!$H$5,N178))&lt;=INT($B$1)+2)),"2 今日处理",IF(AND(F178="等待他人",ISNUMBER(M178),IF(MOD(M178,1)=0,INT(M178)+下拉列表!$H$2,M178)&gt;$B$1),"4 暂不关注","3 近期关注")))))</f>
        <v/>
      </c>
      <c r="C178" s="26"/>
      <c r="D178" s="26"/>
      <c r="E178" s="26"/>
      <c r="F178" s="26"/>
      <c r="G178" s="26"/>
      <c r="H178" s="26"/>
      <c r="I178" s="26"/>
      <c r="J178" s="26"/>
      <c r="K178" s="32"/>
      <c r="L178" s="32"/>
      <c r="M178" s="33"/>
      <c r="N178" s="33"/>
      <c r="O178" s="34" t="str">
        <f ca="1">IF(E178="","",IF(L178="","",MAX(0,INT($B$1)-INT(L178))))</f>
        <v/>
      </c>
      <c r="P178" s="26"/>
      <c r="Q178" s="26"/>
      <c r="R178" s="26"/>
    </row>
    <row r="179" spans="1:18">
      <c r="A179" s="26"/>
      <c r="B179" s="26" t="str">
        <f ca="1">IF(E179="","",IF(OR(F179="已完成",F179="已取消",F179="已移交"),"4 暂不关注",IF(OR(R179="强制立即",A179="▶",AND(ISNUMBER(N179),IF(MOD(N179,1)=0,INT(N179)+下拉列表!$H$5,N179)&lt;=$B$1),AND(F179&lt;&gt;"等待他人",OR(COUNTIF(Q179,"*止损*")&gt;0,COUNTIF(Q179,"*阻塞*")&gt;0))),"1 立即处理",IF(OR(R179="强制今日",AND(F179="等待他人",M179=""),AND(ISNUMBER(M179),IF(MOD(M179,1)=0,INT(M179)+下拉列表!$H$2,M179)&lt;=$B$1),AND(ISNUMBER(N179),INT(IF(MOD(N179,1)=0,INT(N179)+下拉列表!$H$5,N179))=INT($B$1),IF(MOD(N179,1)=0,INT(N179)+下拉列表!$H$5,N179)&gt;$B$1),AND(ISNUMBER(N179),INT(IF(MOD(N179,1)=0,INT(N179)+下拉列表!$H$5,N179))=INT($B$1)+1),AND(COUNTIF(Q179,"*领导DDL*")&gt;0,ISNUMBER(N179),INT(IF(MOD(N179,1)=0,INT(N179)+下拉列表!$H$5,N179))&lt;=INT($B$1)+2)),"2 今日处理",IF(AND(F179="等待他人",ISNUMBER(M179),IF(MOD(M179,1)=0,INT(M179)+下拉列表!$H$2,M179)&gt;$B$1),"4 暂不关注","3 近期关注")))))</f>
        <v/>
      </c>
      <c r="C179" s="26"/>
      <c r="D179" s="26"/>
      <c r="E179" s="26"/>
      <c r="F179" s="26"/>
      <c r="G179" s="26"/>
      <c r="H179" s="26"/>
      <c r="I179" s="26"/>
      <c r="J179" s="26"/>
      <c r="K179" s="32"/>
      <c r="L179" s="32"/>
      <c r="M179" s="33"/>
      <c r="N179" s="33"/>
      <c r="O179" s="34" t="str">
        <f ca="1">IF(E179="","",IF(L179="","",MAX(0,INT($B$1)-INT(L179))))</f>
        <v/>
      </c>
      <c r="P179" s="26"/>
      <c r="Q179" s="26"/>
      <c r="R179" s="26"/>
    </row>
    <row r="180" spans="1:18">
      <c r="A180" s="26"/>
      <c r="B180" s="26" t="str">
        <f ca="1">IF(E180="","",IF(OR(F180="已完成",F180="已取消",F180="已移交"),"4 暂不关注",IF(OR(R180="强制立即",A180="▶",AND(ISNUMBER(N180),IF(MOD(N180,1)=0,INT(N180)+下拉列表!$H$5,N180)&lt;=$B$1),AND(F180&lt;&gt;"等待他人",OR(COUNTIF(Q180,"*止损*")&gt;0,COUNTIF(Q180,"*阻塞*")&gt;0))),"1 立即处理",IF(OR(R180="强制今日",AND(F180="等待他人",M180=""),AND(ISNUMBER(M180),IF(MOD(M180,1)=0,INT(M180)+下拉列表!$H$2,M180)&lt;=$B$1),AND(ISNUMBER(N180),INT(IF(MOD(N180,1)=0,INT(N180)+下拉列表!$H$5,N180))=INT($B$1),IF(MOD(N180,1)=0,INT(N180)+下拉列表!$H$5,N180)&gt;$B$1),AND(ISNUMBER(N180),INT(IF(MOD(N180,1)=0,INT(N180)+下拉列表!$H$5,N180))=INT($B$1)+1),AND(COUNTIF(Q180,"*领导DDL*")&gt;0,ISNUMBER(N180),INT(IF(MOD(N180,1)=0,INT(N180)+下拉列表!$H$5,N180))&lt;=INT($B$1)+2)),"2 今日处理",IF(AND(F180="等待他人",ISNUMBER(M180),IF(MOD(M180,1)=0,INT(M180)+下拉列表!$H$2,M180)&gt;$B$1),"4 暂不关注","3 近期关注")))))</f>
        <v/>
      </c>
      <c r="C180" s="26"/>
      <c r="D180" s="26"/>
      <c r="E180" s="26"/>
      <c r="F180" s="26"/>
      <c r="G180" s="26"/>
      <c r="H180" s="26"/>
      <c r="I180" s="26"/>
      <c r="J180" s="26"/>
      <c r="K180" s="32"/>
      <c r="L180" s="32"/>
      <c r="M180" s="33"/>
      <c r="N180" s="33"/>
      <c r="O180" s="34" t="str">
        <f ca="1">IF(E180="","",IF(L180="","",MAX(0,INT($B$1)-INT(L180))))</f>
        <v/>
      </c>
      <c r="P180" s="26"/>
      <c r="Q180" s="26"/>
      <c r="R180" s="26"/>
    </row>
    <row r="181" spans="1:18">
      <c r="A181" s="26"/>
      <c r="B181" s="26" t="str">
        <f ca="1">IF(E181="","",IF(OR(F181="已完成",F181="已取消",F181="已移交"),"4 暂不关注",IF(OR(R181="强制立即",A181="▶",AND(ISNUMBER(N181),IF(MOD(N181,1)=0,INT(N181)+下拉列表!$H$5,N181)&lt;=$B$1),AND(F181&lt;&gt;"等待他人",OR(COUNTIF(Q181,"*止损*")&gt;0,COUNTIF(Q181,"*阻塞*")&gt;0))),"1 立即处理",IF(OR(R181="强制今日",AND(F181="等待他人",M181=""),AND(ISNUMBER(M181),IF(MOD(M181,1)=0,INT(M181)+下拉列表!$H$2,M181)&lt;=$B$1),AND(ISNUMBER(N181),INT(IF(MOD(N181,1)=0,INT(N181)+下拉列表!$H$5,N181))=INT($B$1),IF(MOD(N181,1)=0,INT(N181)+下拉列表!$H$5,N181)&gt;$B$1),AND(ISNUMBER(N181),INT(IF(MOD(N181,1)=0,INT(N181)+下拉列表!$H$5,N181))=INT($B$1)+1),AND(COUNTIF(Q181,"*领导DDL*")&gt;0,ISNUMBER(N181),INT(IF(MOD(N181,1)=0,INT(N181)+下拉列表!$H$5,N181))&lt;=INT($B$1)+2)),"2 今日处理",IF(AND(F181="等待他人",ISNUMBER(M181),IF(MOD(M181,1)=0,INT(M181)+下拉列表!$H$2,M181)&gt;$B$1),"4 暂不关注","3 近期关注")))))</f>
        <v/>
      </c>
      <c r="C181" s="26"/>
      <c r="D181" s="26"/>
      <c r="E181" s="26"/>
      <c r="F181" s="26"/>
      <c r="G181" s="26"/>
      <c r="H181" s="26"/>
      <c r="I181" s="26"/>
      <c r="J181" s="26"/>
      <c r="K181" s="32"/>
      <c r="L181" s="32"/>
      <c r="M181" s="33"/>
      <c r="N181" s="33"/>
      <c r="O181" s="34" t="str">
        <f ca="1">IF(E181="","",IF(L181="","",MAX(0,INT($B$1)-INT(L181))))</f>
        <v/>
      </c>
      <c r="P181" s="26"/>
      <c r="Q181" s="26"/>
      <c r="R181" s="26"/>
    </row>
    <row r="182" spans="1:18">
      <c r="A182" s="26"/>
      <c r="B182" s="26" t="str">
        <f ca="1">IF(E182="","",IF(OR(F182="已完成",F182="已取消",F182="已移交"),"4 暂不关注",IF(OR(R182="强制立即",A182="▶",AND(ISNUMBER(N182),IF(MOD(N182,1)=0,INT(N182)+下拉列表!$H$5,N182)&lt;=$B$1),AND(F182&lt;&gt;"等待他人",OR(COUNTIF(Q182,"*止损*")&gt;0,COUNTIF(Q182,"*阻塞*")&gt;0))),"1 立即处理",IF(OR(R182="强制今日",AND(F182="等待他人",M182=""),AND(ISNUMBER(M182),IF(MOD(M182,1)=0,INT(M182)+下拉列表!$H$2,M182)&lt;=$B$1),AND(ISNUMBER(N182),INT(IF(MOD(N182,1)=0,INT(N182)+下拉列表!$H$5,N182))=INT($B$1),IF(MOD(N182,1)=0,INT(N182)+下拉列表!$H$5,N182)&gt;$B$1),AND(ISNUMBER(N182),INT(IF(MOD(N182,1)=0,INT(N182)+下拉列表!$H$5,N182))=INT($B$1)+1),AND(COUNTIF(Q182,"*领导DDL*")&gt;0,ISNUMBER(N182),INT(IF(MOD(N182,1)=0,INT(N182)+下拉列表!$H$5,N182))&lt;=INT($B$1)+2)),"2 今日处理",IF(AND(F182="等待他人",ISNUMBER(M182),IF(MOD(M182,1)=0,INT(M182)+下拉列表!$H$2,M182)&gt;$B$1),"4 暂不关注","3 近期关注")))))</f>
        <v/>
      </c>
      <c r="C182" s="26"/>
      <c r="D182" s="26"/>
      <c r="E182" s="26"/>
      <c r="F182" s="26"/>
      <c r="G182" s="26"/>
      <c r="H182" s="26"/>
      <c r="I182" s="26"/>
      <c r="J182" s="26"/>
      <c r="K182" s="32"/>
      <c r="L182" s="32"/>
      <c r="M182" s="33"/>
      <c r="N182" s="33"/>
      <c r="O182" s="34" t="str">
        <f ca="1">IF(E182="","",IF(L182="","",MAX(0,INT($B$1)-INT(L182))))</f>
        <v/>
      </c>
      <c r="P182" s="26"/>
      <c r="Q182" s="26"/>
      <c r="R182" s="26"/>
    </row>
    <row r="183" spans="1:18">
      <c r="A183" s="26"/>
      <c r="B183" s="26" t="str">
        <f ca="1">IF(E183="","",IF(OR(F183="已完成",F183="已取消",F183="已移交"),"4 暂不关注",IF(OR(R183="强制立即",A183="▶",AND(ISNUMBER(N183),IF(MOD(N183,1)=0,INT(N183)+下拉列表!$H$5,N183)&lt;=$B$1),AND(F183&lt;&gt;"等待他人",OR(COUNTIF(Q183,"*止损*")&gt;0,COUNTIF(Q183,"*阻塞*")&gt;0))),"1 立即处理",IF(OR(R183="强制今日",AND(F183="等待他人",M183=""),AND(ISNUMBER(M183),IF(MOD(M183,1)=0,INT(M183)+下拉列表!$H$2,M183)&lt;=$B$1),AND(ISNUMBER(N183),INT(IF(MOD(N183,1)=0,INT(N183)+下拉列表!$H$5,N183))=INT($B$1),IF(MOD(N183,1)=0,INT(N183)+下拉列表!$H$5,N183)&gt;$B$1),AND(ISNUMBER(N183),INT(IF(MOD(N183,1)=0,INT(N183)+下拉列表!$H$5,N183))=INT($B$1)+1),AND(COUNTIF(Q183,"*领导DDL*")&gt;0,ISNUMBER(N183),INT(IF(MOD(N183,1)=0,INT(N183)+下拉列表!$H$5,N183))&lt;=INT($B$1)+2)),"2 今日处理",IF(AND(F183="等待他人",ISNUMBER(M183),IF(MOD(M183,1)=0,INT(M183)+下拉列表!$H$2,M183)&gt;$B$1),"4 暂不关注","3 近期关注")))))</f>
        <v/>
      </c>
      <c r="C183" s="26"/>
      <c r="D183" s="26"/>
      <c r="E183" s="26"/>
      <c r="F183" s="26"/>
      <c r="G183" s="26"/>
      <c r="H183" s="26"/>
      <c r="I183" s="26"/>
      <c r="J183" s="26"/>
      <c r="K183" s="32"/>
      <c r="L183" s="32"/>
      <c r="M183" s="33"/>
      <c r="N183" s="33"/>
      <c r="O183" s="34" t="str">
        <f ca="1">IF(E183="","",IF(L183="","",MAX(0,INT($B$1)-INT(L183))))</f>
        <v/>
      </c>
      <c r="P183" s="26"/>
      <c r="Q183" s="26"/>
      <c r="R183" s="26"/>
    </row>
    <row r="184" spans="1:18">
      <c r="A184" s="26"/>
      <c r="B184" s="26" t="str">
        <f ca="1">IF(E184="","",IF(OR(F184="已完成",F184="已取消",F184="已移交"),"4 暂不关注",IF(OR(R184="强制立即",A184="▶",AND(ISNUMBER(N184),IF(MOD(N184,1)=0,INT(N184)+下拉列表!$H$5,N184)&lt;=$B$1),AND(F184&lt;&gt;"等待他人",OR(COUNTIF(Q184,"*止损*")&gt;0,COUNTIF(Q184,"*阻塞*")&gt;0))),"1 立即处理",IF(OR(R184="强制今日",AND(F184="等待他人",M184=""),AND(ISNUMBER(M184),IF(MOD(M184,1)=0,INT(M184)+下拉列表!$H$2,M184)&lt;=$B$1),AND(ISNUMBER(N184),INT(IF(MOD(N184,1)=0,INT(N184)+下拉列表!$H$5,N184))=INT($B$1),IF(MOD(N184,1)=0,INT(N184)+下拉列表!$H$5,N184)&gt;$B$1),AND(ISNUMBER(N184),INT(IF(MOD(N184,1)=0,INT(N184)+下拉列表!$H$5,N184))=INT($B$1)+1),AND(COUNTIF(Q184,"*领导DDL*")&gt;0,ISNUMBER(N184),INT(IF(MOD(N184,1)=0,INT(N184)+下拉列表!$H$5,N184))&lt;=INT($B$1)+2)),"2 今日处理",IF(AND(F184="等待他人",ISNUMBER(M184),IF(MOD(M184,1)=0,INT(M184)+下拉列表!$H$2,M184)&gt;$B$1),"4 暂不关注","3 近期关注")))))</f>
        <v/>
      </c>
      <c r="C184" s="26"/>
      <c r="D184" s="26"/>
      <c r="E184" s="26"/>
      <c r="F184" s="26"/>
      <c r="G184" s="26"/>
      <c r="H184" s="26"/>
      <c r="I184" s="26"/>
      <c r="J184" s="26"/>
      <c r="K184" s="32"/>
      <c r="L184" s="32"/>
      <c r="M184" s="33"/>
      <c r="N184" s="33"/>
      <c r="O184" s="34" t="str">
        <f ca="1">IF(E184="","",IF(L184="","",MAX(0,INT($B$1)-INT(L184))))</f>
        <v/>
      </c>
      <c r="P184" s="26"/>
      <c r="Q184" s="26"/>
      <c r="R184" s="26"/>
    </row>
    <row r="185" spans="1:18">
      <c r="A185" s="26"/>
      <c r="B185" s="26" t="str">
        <f ca="1">IF(E185="","",IF(OR(F185="已完成",F185="已取消",F185="已移交"),"4 暂不关注",IF(OR(R185="强制立即",A185="▶",AND(ISNUMBER(N185),IF(MOD(N185,1)=0,INT(N185)+下拉列表!$H$5,N185)&lt;=$B$1),AND(F185&lt;&gt;"等待他人",OR(COUNTIF(Q185,"*止损*")&gt;0,COUNTIF(Q185,"*阻塞*")&gt;0))),"1 立即处理",IF(OR(R185="强制今日",AND(F185="等待他人",M185=""),AND(ISNUMBER(M185),IF(MOD(M185,1)=0,INT(M185)+下拉列表!$H$2,M185)&lt;=$B$1),AND(ISNUMBER(N185),INT(IF(MOD(N185,1)=0,INT(N185)+下拉列表!$H$5,N185))=INT($B$1),IF(MOD(N185,1)=0,INT(N185)+下拉列表!$H$5,N185)&gt;$B$1),AND(ISNUMBER(N185),INT(IF(MOD(N185,1)=0,INT(N185)+下拉列表!$H$5,N185))=INT($B$1)+1),AND(COUNTIF(Q185,"*领导DDL*")&gt;0,ISNUMBER(N185),INT(IF(MOD(N185,1)=0,INT(N185)+下拉列表!$H$5,N185))&lt;=INT($B$1)+2)),"2 今日处理",IF(AND(F185="等待他人",ISNUMBER(M185),IF(MOD(M185,1)=0,INT(M185)+下拉列表!$H$2,M185)&gt;$B$1),"4 暂不关注","3 近期关注")))))</f>
        <v/>
      </c>
      <c r="C185" s="26"/>
      <c r="D185" s="26"/>
      <c r="E185" s="26"/>
      <c r="F185" s="26"/>
      <c r="G185" s="26"/>
      <c r="H185" s="26"/>
      <c r="I185" s="26"/>
      <c r="J185" s="26"/>
      <c r="K185" s="32"/>
      <c r="L185" s="32"/>
      <c r="M185" s="33"/>
      <c r="N185" s="33"/>
      <c r="O185" s="34" t="str">
        <f ca="1">IF(E185="","",IF(L185="","",MAX(0,INT($B$1)-INT(L185))))</f>
        <v/>
      </c>
      <c r="P185" s="26"/>
      <c r="Q185" s="26"/>
      <c r="R185" s="26"/>
    </row>
    <row r="186" spans="1:18">
      <c r="A186" s="26"/>
      <c r="B186" s="26" t="str">
        <f ca="1">IF(E186="","",IF(OR(F186="已完成",F186="已取消",F186="已移交"),"4 暂不关注",IF(OR(R186="强制立即",A186="▶",AND(ISNUMBER(N186),IF(MOD(N186,1)=0,INT(N186)+下拉列表!$H$5,N186)&lt;=$B$1),AND(F186&lt;&gt;"等待他人",OR(COUNTIF(Q186,"*止损*")&gt;0,COUNTIF(Q186,"*阻塞*")&gt;0))),"1 立即处理",IF(OR(R186="强制今日",AND(F186="等待他人",M186=""),AND(ISNUMBER(M186),IF(MOD(M186,1)=0,INT(M186)+下拉列表!$H$2,M186)&lt;=$B$1),AND(ISNUMBER(N186),INT(IF(MOD(N186,1)=0,INT(N186)+下拉列表!$H$5,N186))=INT($B$1),IF(MOD(N186,1)=0,INT(N186)+下拉列表!$H$5,N186)&gt;$B$1),AND(ISNUMBER(N186),INT(IF(MOD(N186,1)=0,INT(N186)+下拉列表!$H$5,N186))=INT($B$1)+1),AND(COUNTIF(Q186,"*领导DDL*")&gt;0,ISNUMBER(N186),INT(IF(MOD(N186,1)=0,INT(N186)+下拉列表!$H$5,N186))&lt;=INT($B$1)+2)),"2 今日处理",IF(AND(F186="等待他人",ISNUMBER(M186),IF(MOD(M186,1)=0,INT(M186)+下拉列表!$H$2,M186)&gt;$B$1),"4 暂不关注","3 近期关注")))))</f>
        <v/>
      </c>
      <c r="C186" s="26"/>
      <c r="D186" s="26"/>
      <c r="E186" s="26"/>
      <c r="F186" s="26"/>
      <c r="G186" s="26"/>
      <c r="H186" s="26"/>
      <c r="I186" s="26"/>
      <c r="J186" s="26"/>
      <c r="K186" s="32"/>
      <c r="L186" s="32"/>
      <c r="M186" s="33"/>
      <c r="N186" s="33"/>
      <c r="O186" s="34" t="str">
        <f ca="1">IF(E186="","",IF(L186="","",MAX(0,INT($B$1)-INT(L186))))</f>
        <v/>
      </c>
      <c r="P186" s="26"/>
      <c r="Q186" s="26"/>
      <c r="R186" s="26"/>
    </row>
    <row r="187" spans="1:18">
      <c r="A187" s="26"/>
      <c r="B187" s="26" t="str">
        <f ca="1">IF(E187="","",IF(OR(F187="已完成",F187="已取消",F187="已移交"),"4 暂不关注",IF(OR(R187="强制立即",A187="▶",AND(ISNUMBER(N187),IF(MOD(N187,1)=0,INT(N187)+下拉列表!$H$5,N187)&lt;=$B$1),AND(F187&lt;&gt;"等待他人",OR(COUNTIF(Q187,"*止损*")&gt;0,COUNTIF(Q187,"*阻塞*")&gt;0))),"1 立即处理",IF(OR(R187="强制今日",AND(F187="等待他人",M187=""),AND(ISNUMBER(M187),IF(MOD(M187,1)=0,INT(M187)+下拉列表!$H$2,M187)&lt;=$B$1),AND(ISNUMBER(N187),INT(IF(MOD(N187,1)=0,INT(N187)+下拉列表!$H$5,N187))=INT($B$1),IF(MOD(N187,1)=0,INT(N187)+下拉列表!$H$5,N187)&gt;$B$1),AND(ISNUMBER(N187),INT(IF(MOD(N187,1)=0,INT(N187)+下拉列表!$H$5,N187))=INT($B$1)+1),AND(COUNTIF(Q187,"*领导DDL*")&gt;0,ISNUMBER(N187),INT(IF(MOD(N187,1)=0,INT(N187)+下拉列表!$H$5,N187))&lt;=INT($B$1)+2)),"2 今日处理",IF(AND(F187="等待他人",ISNUMBER(M187),IF(MOD(M187,1)=0,INT(M187)+下拉列表!$H$2,M187)&gt;$B$1),"4 暂不关注","3 近期关注")))))</f>
        <v/>
      </c>
      <c r="C187" s="26"/>
      <c r="D187" s="26"/>
      <c r="E187" s="26"/>
      <c r="F187" s="26"/>
      <c r="G187" s="26"/>
      <c r="H187" s="26"/>
      <c r="I187" s="26"/>
      <c r="J187" s="26"/>
      <c r="K187" s="32"/>
      <c r="L187" s="32"/>
      <c r="M187" s="33"/>
      <c r="N187" s="33"/>
      <c r="O187" s="34" t="str">
        <f ca="1">IF(E187="","",IF(L187="","",MAX(0,INT($B$1)-INT(L187))))</f>
        <v/>
      </c>
      <c r="P187" s="26"/>
      <c r="Q187" s="26"/>
      <c r="R187" s="26"/>
    </row>
    <row r="188" spans="1:18">
      <c r="A188" s="26"/>
      <c r="B188" s="26" t="str">
        <f ca="1">IF(E188="","",IF(OR(F188="已完成",F188="已取消",F188="已移交"),"4 暂不关注",IF(OR(R188="强制立即",A188="▶",AND(ISNUMBER(N188),IF(MOD(N188,1)=0,INT(N188)+下拉列表!$H$5,N188)&lt;=$B$1),AND(F188&lt;&gt;"等待他人",OR(COUNTIF(Q188,"*止损*")&gt;0,COUNTIF(Q188,"*阻塞*")&gt;0))),"1 立即处理",IF(OR(R188="强制今日",AND(F188="等待他人",M188=""),AND(ISNUMBER(M188),IF(MOD(M188,1)=0,INT(M188)+下拉列表!$H$2,M188)&lt;=$B$1),AND(ISNUMBER(N188),INT(IF(MOD(N188,1)=0,INT(N188)+下拉列表!$H$5,N188))=INT($B$1),IF(MOD(N188,1)=0,INT(N188)+下拉列表!$H$5,N188)&gt;$B$1),AND(ISNUMBER(N188),INT(IF(MOD(N188,1)=0,INT(N188)+下拉列表!$H$5,N188))=INT($B$1)+1),AND(COUNTIF(Q188,"*领导DDL*")&gt;0,ISNUMBER(N188),INT(IF(MOD(N188,1)=0,INT(N188)+下拉列表!$H$5,N188))&lt;=INT($B$1)+2)),"2 今日处理",IF(AND(F188="等待他人",ISNUMBER(M188),IF(MOD(M188,1)=0,INT(M188)+下拉列表!$H$2,M188)&gt;$B$1),"4 暂不关注","3 近期关注")))))</f>
        <v/>
      </c>
      <c r="C188" s="26"/>
      <c r="D188" s="26"/>
      <c r="E188" s="26"/>
      <c r="F188" s="26"/>
      <c r="G188" s="26"/>
      <c r="H188" s="26"/>
      <c r="I188" s="26"/>
      <c r="J188" s="26"/>
      <c r="K188" s="32"/>
      <c r="L188" s="32"/>
      <c r="M188" s="33"/>
      <c r="N188" s="33"/>
      <c r="O188" s="34" t="str">
        <f ca="1">IF(E188="","",IF(L188="","",MAX(0,INT($B$1)-INT(L188))))</f>
        <v/>
      </c>
      <c r="P188" s="26"/>
      <c r="Q188" s="26"/>
      <c r="R188" s="26"/>
    </row>
    <row r="189" spans="1:18">
      <c r="A189" s="26"/>
      <c r="B189" s="26" t="str">
        <f ca="1">IF(E189="","",IF(OR(F189="已完成",F189="已取消",F189="已移交"),"4 暂不关注",IF(OR(R189="强制立即",A189="▶",AND(ISNUMBER(N189),IF(MOD(N189,1)=0,INT(N189)+下拉列表!$H$5,N189)&lt;=$B$1),AND(F189&lt;&gt;"等待他人",OR(COUNTIF(Q189,"*止损*")&gt;0,COUNTIF(Q189,"*阻塞*")&gt;0))),"1 立即处理",IF(OR(R189="强制今日",AND(F189="等待他人",M189=""),AND(ISNUMBER(M189),IF(MOD(M189,1)=0,INT(M189)+下拉列表!$H$2,M189)&lt;=$B$1),AND(ISNUMBER(N189),INT(IF(MOD(N189,1)=0,INT(N189)+下拉列表!$H$5,N189))=INT($B$1),IF(MOD(N189,1)=0,INT(N189)+下拉列表!$H$5,N189)&gt;$B$1),AND(ISNUMBER(N189),INT(IF(MOD(N189,1)=0,INT(N189)+下拉列表!$H$5,N189))=INT($B$1)+1),AND(COUNTIF(Q189,"*领导DDL*")&gt;0,ISNUMBER(N189),INT(IF(MOD(N189,1)=0,INT(N189)+下拉列表!$H$5,N189))&lt;=INT($B$1)+2)),"2 今日处理",IF(AND(F189="等待他人",ISNUMBER(M189),IF(MOD(M189,1)=0,INT(M189)+下拉列表!$H$2,M189)&gt;$B$1),"4 暂不关注","3 近期关注")))))</f>
        <v/>
      </c>
      <c r="C189" s="26"/>
      <c r="D189" s="26"/>
      <c r="E189" s="26"/>
      <c r="F189" s="26"/>
      <c r="G189" s="26"/>
      <c r="H189" s="26"/>
      <c r="I189" s="26"/>
      <c r="J189" s="26"/>
      <c r="K189" s="32"/>
      <c r="L189" s="32"/>
      <c r="M189" s="33"/>
      <c r="N189" s="33"/>
      <c r="O189" s="34" t="str">
        <f ca="1">IF(E189="","",IF(L189="","",MAX(0,INT($B$1)-INT(L189))))</f>
        <v/>
      </c>
      <c r="P189" s="26"/>
      <c r="Q189" s="26"/>
      <c r="R189" s="26"/>
    </row>
    <row r="190" spans="1:18">
      <c r="A190" s="26"/>
      <c r="B190" s="26" t="str">
        <f ca="1">IF(E190="","",IF(OR(F190="已完成",F190="已取消",F190="已移交"),"4 暂不关注",IF(OR(R190="强制立即",A190="▶",AND(ISNUMBER(N190),IF(MOD(N190,1)=0,INT(N190)+下拉列表!$H$5,N190)&lt;=$B$1),AND(F190&lt;&gt;"等待他人",OR(COUNTIF(Q190,"*止损*")&gt;0,COUNTIF(Q190,"*阻塞*")&gt;0))),"1 立即处理",IF(OR(R190="强制今日",AND(F190="等待他人",M190=""),AND(ISNUMBER(M190),IF(MOD(M190,1)=0,INT(M190)+下拉列表!$H$2,M190)&lt;=$B$1),AND(ISNUMBER(N190),INT(IF(MOD(N190,1)=0,INT(N190)+下拉列表!$H$5,N190))=INT($B$1),IF(MOD(N190,1)=0,INT(N190)+下拉列表!$H$5,N190)&gt;$B$1),AND(ISNUMBER(N190),INT(IF(MOD(N190,1)=0,INT(N190)+下拉列表!$H$5,N190))=INT($B$1)+1),AND(COUNTIF(Q190,"*领导DDL*")&gt;0,ISNUMBER(N190),INT(IF(MOD(N190,1)=0,INT(N190)+下拉列表!$H$5,N190))&lt;=INT($B$1)+2)),"2 今日处理",IF(AND(F190="等待他人",ISNUMBER(M190),IF(MOD(M190,1)=0,INT(M190)+下拉列表!$H$2,M190)&gt;$B$1),"4 暂不关注","3 近期关注")))))</f>
        <v/>
      </c>
      <c r="C190" s="26"/>
      <c r="D190" s="26"/>
      <c r="E190" s="26"/>
      <c r="F190" s="26"/>
      <c r="G190" s="26"/>
      <c r="H190" s="26"/>
      <c r="I190" s="26"/>
      <c r="J190" s="26"/>
      <c r="K190" s="32"/>
      <c r="L190" s="32"/>
      <c r="M190" s="33"/>
      <c r="N190" s="33"/>
      <c r="O190" s="34" t="str">
        <f ca="1">IF(E190="","",IF(L190="","",MAX(0,INT($B$1)-INT(L190))))</f>
        <v/>
      </c>
      <c r="P190" s="26"/>
      <c r="Q190" s="26"/>
      <c r="R190" s="26"/>
    </row>
    <row r="191" spans="1:18">
      <c r="A191" s="26"/>
      <c r="B191" s="26" t="str">
        <f ca="1">IF(E191="","",IF(OR(F191="已完成",F191="已取消",F191="已移交"),"4 暂不关注",IF(OR(R191="强制立即",A191="▶",AND(ISNUMBER(N191),IF(MOD(N191,1)=0,INT(N191)+下拉列表!$H$5,N191)&lt;=$B$1),AND(F191&lt;&gt;"等待他人",OR(COUNTIF(Q191,"*止损*")&gt;0,COUNTIF(Q191,"*阻塞*")&gt;0))),"1 立即处理",IF(OR(R191="强制今日",AND(F191="等待他人",M191=""),AND(ISNUMBER(M191),IF(MOD(M191,1)=0,INT(M191)+下拉列表!$H$2,M191)&lt;=$B$1),AND(ISNUMBER(N191),INT(IF(MOD(N191,1)=0,INT(N191)+下拉列表!$H$5,N191))=INT($B$1),IF(MOD(N191,1)=0,INT(N191)+下拉列表!$H$5,N191)&gt;$B$1),AND(ISNUMBER(N191),INT(IF(MOD(N191,1)=0,INT(N191)+下拉列表!$H$5,N191))=INT($B$1)+1),AND(COUNTIF(Q191,"*领导DDL*")&gt;0,ISNUMBER(N191),INT(IF(MOD(N191,1)=0,INT(N191)+下拉列表!$H$5,N191))&lt;=INT($B$1)+2)),"2 今日处理",IF(AND(F191="等待他人",ISNUMBER(M191),IF(MOD(M191,1)=0,INT(M191)+下拉列表!$H$2,M191)&gt;$B$1),"4 暂不关注","3 近期关注")))))</f>
        <v/>
      </c>
      <c r="C191" s="26"/>
      <c r="D191" s="26"/>
      <c r="E191" s="26"/>
      <c r="F191" s="26"/>
      <c r="G191" s="26"/>
      <c r="H191" s="26"/>
      <c r="I191" s="26"/>
      <c r="J191" s="26"/>
      <c r="K191" s="32"/>
      <c r="L191" s="32"/>
      <c r="M191" s="33"/>
      <c r="N191" s="33"/>
      <c r="O191" s="34" t="str">
        <f ca="1">IF(E191="","",IF(L191="","",MAX(0,INT($B$1)-INT(L191))))</f>
        <v/>
      </c>
      <c r="P191" s="26"/>
      <c r="Q191" s="26"/>
      <c r="R191" s="26"/>
    </row>
    <row r="192" spans="1:18">
      <c r="A192" s="26"/>
      <c r="B192" s="26" t="str">
        <f ca="1">IF(E192="","",IF(OR(F192="已完成",F192="已取消",F192="已移交"),"4 暂不关注",IF(OR(R192="强制立即",A192="▶",AND(ISNUMBER(N192),IF(MOD(N192,1)=0,INT(N192)+下拉列表!$H$5,N192)&lt;=$B$1),AND(F192&lt;&gt;"等待他人",OR(COUNTIF(Q192,"*止损*")&gt;0,COUNTIF(Q192,"*阻塞*")&gt;0))),"1 立即处理",IF(OR(R192="强制今日",AND(F192="等待他人",M192=""),AND(ISNUMBER(M192),IF(MOD(M192,1)=0,INT(M192)+下拉列表!$H$2,M192)&lt;=$B$1),AND(ISNUMBER(N192),INT(IF(MOD(N192,1)=0,INT(N192)+下拉列表!$H$5,N192))=INT($B$1),IF(MOD(N192,1)=0,INT(N192)+下拉列表!$H$5,N192)&gt;$B$1),AND(ISNUMBER(N192),INT(IF(MOD(N192,1)=0,INT(N192)+下拉列表!$H$5,N192))=INT($B$1)+1),AND(COUNTIF(Q192,"*领导DDL*")&gt;0,ISNUMBER(N192),INT(IF(MOD(N192,1)=0,INT(N192)+下拉列表!$H$5,N192))&lt;=INT($B$1)+2)),"2 今日处理",IF(AND(F192="等待他人",ISNUMBER(M192),IF(MOD(M192,1)=0,INT(M192)+下拉列表!$H$2,M192)&gt;$B$1),"4 暂不关注","3 近期关注")))))</f>
        <v/>
      </c>
      <c r="C192" s="26"/>
      <c r="D192" s="26"/>
      <c r="E192" s="26"/>
      <c r="F192" s="26"/>
      <c r="G192" s="26"/>
      <c r="H192" s="26"/>
      <c r="I192" s="26"/>
      <c r="J192" s="26"/>
      <c r="K192" s="32"/>
      <c r="L192" s="32"/>
      <c r="M192" s="33"/>
      <c r="N192" s="33"/>
      <c r="O192" s="34" t="str">
        <f ca="1">IF(E192="","",IF(L192="","",MAX(0,INT($B$1)-INT(L192))))</f>
        <v/>
      </c>
      <c r="P192" s="26"/>
      <c r="Q192" s="26"/>
      <c r="R192" s="26"/>
    </row>
    <row r="193" spans="1:18">
      <c r="A193" s="26"/>
      <c r="B193" s="26" t="str">
        <f ca="1">IF(E193="","",IF(OR(F193="已完成",F193="已取消",F193="已移交"),"4 暂不关注",IF(OR(R193="强制立即",A193="▶",AND(ISNUMBER(N193),IF(MOD(N193,1)=0,INT(N193)+下拉列表!$H$5,N193)&lt;=$B$1),AND(F193&lt;&gt;"等待他人",OR(COUNTIF(Q193,"*止损*")&gt;0,COUNTIF(Q193,"*阻塞*")&gt;0))),"1 立即处理",IF(OR(R193="强制今日",AND(F193="等待他人",M193=""),AND(ISNUMBER(M193),IF(MOD(M193,1)=0,INT(M193)+下拉列表!$H$2,M193)&lt;=$B$1),AND(ISNUMBER(N193),INT(IF(MOD(N193,1)=0,INT(N193)+下拉列表!$H$5,N193))=INT($B$1),IF(MOD(N193,1)=0,INT(N193)+下拉列表!$H$5,N193)&gt;$B$1),AND(ISNUMBER(N193),INT(IF(MOD(N193,1)=0,INT(N193)+下拉列表!$H$5,N193))=INT($B$1)+1),AND(COUNTIF(Q193,"*领导DDL*")&gt;0,ISNUMBER(N193),INT(IF(MOD(N193,1)=0,INT(N193)+下拉列表!$H$5,N193))&lt;=INT($B$1)+2)),"2 今日处理",IF(AND(F193="等待他人",ISNUMBER(M193),IF(MOD(M193,1)=0,INT(M193)+下拉列表!$H$2,M193)&gt;$B$1),"4 暂不关注","3 近期关注")))))</f>
        <v/>
      </c>
      <c r="C193" s="26"/>
      <c r="D193" s="26"/>
      <c r="E193" s="26"/>
      <c r="F193" s="26"/>
      <c r="G193" s="26"/>
      <c r="H193" s="26"/>
      <c r="I193" s="26"/>
      <c r="J193" s="26"/>
      <c r="K193" s="32"/>
      <c r="L193" s="32"/>
      <c r="M193" s="33"/>
      <c r="N193" s="33"/>
      <c r="O193" s="34" t="str">
        <f ca="1">IF(E193="","",IF(L193="","",MAX(0,INT($B$1)-INT(L193))))</f>
        <v/>
      </c>
      <c r="P193" s="26"/>
      <c r="Q193" s="26"/>
      <c r="R193" s="26"/>
    </row>
    <row r="194" spans="1:18">
      <c r="A194" s="26"/>
      <c r="B194" s="26" t="str">
        <f ca="1">IF(E194="","",IF(OR(F194="已完成",F194="已取消",F194="已移交"),"4 暂不关注",IF(OR(R194="强制立即",A194="▶",AND(ISNUMBER(N194),IF(MOD(N194,1)=0,INT(N194)+下拉列表!$H$5,N194)&lt;=$B$1),AND(F194&lt;&gt;"等待他人",OR(COUNTIF(Q194,"*止损*")&gt;0,COUNTIF(Q194,"*阻塞*")&gt;0))),"1 立即处理",IF(OR(R194="强制今日",AND(F194="等待他人",M194=""),AND(ISNUMBER(M194),IF(MOD(M194,1)=0,INT(M194)+下拉列表!$H$2,M194)&lt;=$B$1),AND(ISNUMBER(N194),INT(IF(MOD(N194,1)=0,INT(N194)+下拉列表!$H$5,N194))=INT($B$1),IF(MOD(N194,1)=0,INT(N194)+下拉列表!$H$5,N194)&gt;$B$1),AND(ISNUMBER(N194),INT(IF(MOD(N194,1)=0,INT(N194)+下拉列表!$H$5,N194))=INT($B$1)+1),AND(COUNTIF(Q194,"*领导DDL*")&gt;0,ISNUMBER(N194),INT(IF(MOD(N194,1)=0,INT(N194)+下拉列表!$H$5,N194))&lt;=INT($B$1)+2)),"2 今日处理",IF(AND(F194="等待他人",ISNUMBER(M194),IF(MOD(M194,1)=0,INT(M194)+下拉列表!$H$2,M194)&gt;$B$1),"4 暂不关注","3 近期关注")))))</f>
        <v/>
      </c>
      <c r="C194" s="26"/>
      <c r="D194" s="26"/>
      <c r="E194" s="26"/>
      <c r="F194" s="26"/>
      <c r="G194" s="26"/>
      <c r="H194" s="26"/>
      <c r="I194" s="26"/>
      <c r="J194" s="26"/>
      <c r="K194" s="32"/>
      <c r="L194" s="32"/>
      <c r="M194" s="33"/>
      <c r="N194" s="33"/>
      <c r="O194" s="34" t="str">
        <f ca="1">IF(E194="","",IF(L194="","",MAX(0,INT($B$1)-INT(L194))))</f>
        <v/>
      </c>
      <c r="P194" s="26"/>
      <c r="Q194" s="26"/>
      <c r="R194" s="26"/>
    </row>
    <row r="195" spans="1:18">
      <c r="A195" s="26"/>
      <c r="B195" s="26" t="str">
        <f ca="1">IF(E195="","",IF(OR(F195="已完成",F195="已取消",F195="已移交"),"4 暂不关注",IF(OR(R195="强制立即",A195="▶",AND(ISNUMBER(N195),IF(MOD(N195,1)=0,INT(N195)+下拉列表!$H$5,N195)&lt;=$B$1),AND(F195&lt;&gt;"等待他人",OR(COUNTIF(Q195,"*止损*")&gt;0,COUNTIF(Q195,"*阻塞*")&gt;0))),"1 立即处理",IF(OR(R195="强制今日",AND(F195="等待他人",M195=""),AND(ISNUMBER(M195),IF(MOD(M195,1)=0,INT(M195)+下拉列表!$H$2,M195)&lt;=$B$1),AND(ISNUMBER(N195),INT(IF(MOD(N195,1)=0,INT(N195)+下拉列表!$H$5,N195))=INT($B$1),IF(MOD(N195,1)=0,INT(N195)+下拉列表!$H$5,N195)&gt;$B$1),AND(ISNUMBER(N195),INT(IF(MOD(N195,1)=0,INT(N195)+下拉列表!$H$5,N195))=INT($B$1)+1),AND(COUNTIF(Q195,"*领导DDL*")&gt;0,ISNUMBER(N195),INT(IF(MOD(N195,1)=0,INT(N195)+下拉列表!$H$5,N195))&lt;=INT($B$1)+2)),"2 今日处理",IF(AND(F195="等待他人",ISNUMBER(M195),IF(MOD(M195,1)=0,INT(M195)+下拉列表!$H$2,M195)&gt;$B$1),"4 暂不关注","3 近期关注")))))</f>
        <v/>
      </c>
      <c r="C195" s="26"/>
      <c r="D195" s="26"/>
      <c r="E195" s="26"/>
      <c r="F195" s="26"/>
      <c r="G195" s="26"/>
      <c r="H195" s="26"/>
      <c r="I195" s="26"/>
      <c r="J195" s="26"/>
      <c r="K195" s="32"/>
      <c r="L195" s="32"/>
      <c r="M195" s="33"/>
      <c r="N195" s="33"/>
      <c r="O195" s="34" t="str">
        <f ca="1">IF(E195="","",IF(L195="","",MAX(0,INT($B$1)-INT(L195))))</f>
        <v/>
      </c>
      <c r="P195" s="26"/>
      <c r="Q195" s="26"/>
      <c r="R195" s="26"/>
    </row>
    <row r="196" spans="1:18">
      <c r="A196" s="26"/>
      <c r="B196" s="26" t="str">
        <f ca="1">IF(E196="","",IF(OR(F196="已完成",F196="已取消",F196="已移交"),"4 暂不关注",IF(OR(R196="强制立即",A196="▶",AND(ISNUMBER(N196),IF(MOD(N196,1)=0,INT(N196)+下拉列表!$H$5,N196)&lt;=$B$1),AND(F196&lt;&gt;"等待他人",OR(COUNTIF(Q196,"*止损*")&gt;0,COUNTIF(Q196,"*阻塞*")&gt;0))),"1 立即处理",IF(OR(R196="强制今日",AND(F196="等待他人",M196=""),AND(ISNUMBER(M196),IF(MOD(M196,1)=0,INT(M196)+下拉列表!$H$2,M196)&lt;=$B$1),AND(ISNUMBER(N196),INT(IF(MOD(N196,1)=0,INT(N196)+下拉列表!$H$5,N196))=INT($B$1),IF(MOD(N196,1)=0,INT(N196)+下拉列表!$H$5,N196)&gt;$B$1),AND(ISNUMBER(N196),INT(IF(MOD(N196,1)=0,INT(N196)+下拉列表!$H$5,N196))=INT($B$1)+1),AND(COUNTIF(Q196,"*领导DDL*")&gt;0,ISNUMBER(N196),INT(IF(MOD(N196,1)=0,INT(N196)+下拉列表!$H$5,N196))&lt;=INT($B$1)+2)),"2 今日处理",IF(AND(F196="等待他人",ISNUMBER(M196),IF(MOD(M196,1)=0,INT(M196)+下拉列表!$H$2,M196)&gt;$B$1),"4 暂不关注","3 近期关注")))))</f>
        <v/>
      </c>
      <c r="C196" s="26"/>
      <c r="D196" s="26"/>
      <c r="E196" s="26"/>
      <c r="F196" s="26"/>
      <c r="G196" s="26"/>
      <c r="H196" s="26"/>
      <c r="I196" s="26"/>
      <c r="J196" s="26"/>
      <c r="K196" s="32"/>
      <c r="L196" s="32"/>
      <c r="M196" s="33"/>
      <c r="N196" s="33"/>
      <c r="O196" s="34" t="str">
        <f ca="1">IF(E196="","",IF(L196="","",MAX(0,INT($B$1)-INT(L196))))</f>
        <v/>
      </c>
      <c r="P196" s="26"/>
      <c r="Q196" s="26"/>
      <c r="R196" s="26"/>
    </row>
    <row r="197" spans="1:18">
      <c r="A197" s="26"/>
      <c r="B197" s="26" t="str">
        <f ca="1">IF(E197="","",IF(OR(F197="已完成",F197="已取消",F197="已移交"),"4 暂不关注",IF(OR(R197="强制立即",A197="▶",AND(ISNUMBER(N197),IF(MOD(N197,1)=0,INT(N197)+下拉列表!$H$5,N197)&lt;=$B$1),AND(F197&lt;&gt;"等待他人",OR(COUNTIF(Q197,"*止损*")&gt;0,COUNTIF(Q197,"*阻塞*")&gt;0))),"1 立即处理",IF(OR(R197="强制今日",AND(F197="等待他人",M197=""),AND(ISNUMBER(M197),IF(MOD(M197,1)=0,INT(M197)+下拉列表!$H$2,M197)&lt;=$B$1),AND(ISNUMBER(N197),INT(IF(MOD(N197,1)=0,INT(N197)+下拉列表!$H$5,N197))=INT($B$1),IF(MOD(N197,1)=0,INT(N197)+下拉列表!$H$5,N197)&gt;$B$1),AND(ISNUMBER(N197),INT(IF(MOD(N197,1)=0,INT(N197)+下拉列表!$H$5,N197))=INT($B$1)+1),AND(COUNTIF(Q197,"*领导DDL*")&gt;0,ISNUMBER(N197),INT(IF(MOD(N197,1)=0,INT(N197)+下拉列表!$H$5,N197))&lt;=INT($B$1)+2)),"2 今日处理",IF(AND(F197="等待他人",ISNUMBER(M197),IF(MOD(M197,1)=0,INT(M197)+下拉列表!$H$2,M197)&gt;$B$1),"4 暂不关注","3 近期关注")))))</f>
        <v/>
      </c>
      <c r="C197" s="26"/>
      <c r="D197" s="26"/>
      <c r="E197" s="26"/>
      <c r="F197" s="26"/>
      <c r="G197" s="26"/>
      <c r="H197" s="26"/>
      <c r="I197" s="26"/>
      <c r="J197" s="26"/>
      <c r="K197" s="32"/>
      <c r="L197" s="32"/>
      <c r="M197" s="33"/>
      <c r="N197" s="33"/>
      <c r="O197" s="34" t="str">
        <f ca="1">IF(E197="","",IF(L197="","",MAX(0,INT($B$1)-INT(L197))))</f>
        <v/>
      </c>
      <c r="P197" s="26"/>
      <c r="Q197" s="26"/>
      <c r="R197" s="26"/>
    </row>
    <row r="198" spans="1:18">
      <c r="A198" s="26"/>
      <c r="B198" s="26" t="str">
        <f ca="1">IF(E198="","",IF(OR(F198="已完成",F198="已取消",F198="已移交"),"4 暂不关注",IF(OR(R198="强制立即",A198="▶",AND(ISNUMBER(N198),IF(MOD(N198,1)=0,INT(N198)+下拉列表!$H$5,N198)&lt;=$B$1),AND(F198&lt;&gt;"等待他人",OR(COUNTIF(Q198,"*止损*")&gt;0,COUNTIF(Q198,"*阻塞*")&gt;0))),"1 立即处理",IF(OR(R198="强制今日",AND(F198="等待他人",M198=""),AND(ISNUMBER(M198),IF(MOD(M198,1)=0,INT(M198)+下拉列表!$H$2,M198)&lt;=$B$1),AND(ISNUMBER(N198),INT(IF(MOD(N198,1)=0,INT(N198)+下拉列表!$H$5,N198))=INT($B$1),IF(MOD(N198,1)=0,INT(N198)+下拉列表!$H$5,N198)&gt;$B$1),AND(ISNUMBER(N198),INT(IF(MOD(N198,1)=0,INT(N198)+下拉列表!$H$5,N198))=INT($B$1)+1),AND(COUNTIF(Q198,"*领导DDL*")&gt;0,ISNUMBER(N198),INT(IF(MOD(N198,1)=0,INT(N198)+下拉列表!$H$5,N198))&lt;=INT($B$1)+2)),"2 今日处理",IF(AND(F198="等待他人",ISNUMBER(M198),IF(MOD(M198,1)=0,INT(M198)+下拉列表!$H$2,M198)&gt;$B$1),"4 暂不关注","3 近期关注")))))</f>
        <v/>
      </c>
      <c r="C198" s="26"/>
      <c r="D198" s="26"/>
      <c r="E198" s="26"/>
      <c r="F198" s="26"/>
      <c r="G198" s="26"/>
      <c r="H198" s="26"/>
      <c r="I198" s="26"/>
      <c r="J198" s="26"/>
      <c r="K198" s="32"/>
      <c r="L198" s="32"/>
      <c r="M198" s="33"/>
      <c r="N198" s="33"/>
      <c r="O198" s="34" t="str">
        <f ca="1">IF(E198="","",IF(L198="","",MAX(0,INT($B$1)-INT(L198))))</f>
        <v/>
      </c>
      <c r="P198" s="26"/>
      <c r="Q198" s="26"/>
      <c r="R198" s="26"/>
    </row>
    <row r="199" spans="1:18">
      <c r="A199" s="26"/>
      <c r="B199" s="26" t="str">
        <f ca="1">IF(E199="","",IF(OR(F199="已完成",F199="已取消",F199="已移交"),"4 暂不关注",IF(OR(R199="强制立即",A199="▶",AND(ISNUMBER(N199),IF(MOD(N199,1)=0,INT(N199)+下拉列表!$H$5,N199)&lt;=$B$1),AND(F199&lt;&gt;"等待他人",OR(COUNTIF(Q199,"*止损*")&gt;0,COUNTIF(Q199,"*阻塞*")&gt;0))),"1 立即处理",IF(OR(R199="强制今日",AND(F199="等待他人",M199=""),AND(ISNUMBER(M199),IF(MOD(M199,1)=0,INT(M199)+下拉列表!$H$2,M199)&lt;=$B$1),AND(ISNUMBER(N199),INT(IF(MOD(N199,1)=0,INT(N199)+下拉列表!$H$5,N199))=INT($B$1),IF(MOD(N199,1)=0,INT(N199)+下拉列表!$H$5,N199)&gt;$B$1),AND(ISNUMBER(N199),INT(IF(MOD(N199,1)=0,INT(N199)+下拉列表!$H$5,N199))=INT($B$1)+1),AND(COUNTIF(Q199,"*领导DDL*")&gt;0,ISNUMBER(N199),INT(IF(MOD(N199,1)=0,INT(N199)+下拉列表!$H$5,N199))&lt;=INT($B$1)+2)),"2 今日处理",IF(AND(F199="等待他人",ISNUMBER(M199),IF(MOD(M199,1)=0,INT(M199)+下拉列表!$H$2,M199)&gt;$B$1),"4 暂不关注","3 近期关注")))))</f>
        <v/>
      </c>
      <c r="C199" s="26"/>
      <c r="D199" s="26"/>
      <c r="E199" s="26"/>
      <c r="F199" s="26"/>
      <c r="G199" s="26"/>
      <c r="H199" s="26"/>
      <c r="I199" s="26"/>
      <c r="J199" s="26"/>
      <c r="K199" s="32"/>
      <c r="L199" s="32"/>
      <c r="M199" s="33"/>
      <c r="N199" s="33"/>
      <c r="O199" s="34" t="str">
        <f ca="1">IF(E199="","",IF(L199="","",MAX(0,INT($B$1)-INT(L199))))</f>
        <v/>
      </c>
      <c r="P199" s="26"/>
      <c r="Q199" s="26"/>
      <c r="R199" s="26"/>
    </row>
    <row r="200" spans="1:18">
      <c r="A200" s="26"/>
      <c r="B200" s="26" t="str">
        <f ca="1">IF(E200="","",IF(OR(F200="已完成",F200="已取消",F200="已移交"),"4 暂不关注",IF(OR(R200="强制立即",A200="▶",AND(ISNUMBER(N200),IF(MOD(N200,1)=0,INT(N200)+下拉列表!$H$5,N200)&lt;=$B$1),AND(F200&lt;&gt;"等待他人",OR(COUNTIF(Q200,"*止损*")&gt;0,COUNTIF(Q200,"*阻塞*")&gt;0))),"1 立即处理",IF(OR(R200="强制今日",AND(F200="等待他人",M200=""),AND(ISNUMBER(M200),IF(MOD(M200,1)=0,INT(M200)+下拉列表!$H$2,M200)&lt;=$B$1),AND(ISNUMBER(N200),INT(IF(MOD(N200,1)=0,INT(N200)+下拉列表!$H$5,N200))=INT($B$1),IF(MOD(N200,1)=0,INT(N200)+下拉列表!$H$5,N200)&gt;$B$1),AND(ISNUMBER(N200),INT(IF(MOD(N200,1)=0,INT(N200)+下拉列表!$H$5,N200))=INT($B$1)+1),AND(COUNTIF(Q200,"*领导DDL*")&gt;0,ISNUMBER(N200),INT(IF(MOD(N200,1)=0,INT(N200)+下拉列表!$H$5,N200))&lt;=INT($B$1)+2)),"2 今日处理",IF(AND(F200="等待他人",ISNUMBER(M200),IF(MOD(M200,1)=0,INT(M200)+下拉列表!$H$2,M200)&gt;$B$1),"4 暂不关注","3 近期关注")))))</f>
        <v/>
      </c>
      <c r="C200" s="26"/>
      <c r="D200" s="26"/>
      <c r="E200" s="26"/>
      <c r="F200" s="26"/>
      <c r="G200" s="26"/>
      <c r="H200" s="26"/>
      <c r="I200" s="26"/>
      <c r="J200" s="26"/>
      <c r="K200" s="32"/>
      <c r="L200" s="32"/>
      <c r="M200" s="33"/>
      <c r="N200" s="33"/>
      <c r="O200" s="34" t="str">
        <f ca="1">IF(E200="","",IF(L200="","",MAX(0,INT($B$1)-INT(L200))))</f>
        <v/>
      </c>
      <c r="P200" s="26"/>
      <c r="Q200" s="26"/>
      <c r="R200" s="26"/>
    </row>
    <row r="201" spans="1:18">
      <c r="A201" s="26"/>
      <c r="B201" s="26" t="str">
        <f ca="1">IF(E201="","",IF(OR(F201="已完成",F201="已取消",F201="已移交"),"4 暂不关注",IF(OR(R201="强制立即",A201="▶",AND(ISNUMBER(N201),IF(MOD(N201,1)=0,INT(N201)+下拉列表!$H$5,N201)&lt;=$B$1),AND(F201&lt;&gt;"等待他人",OR(COUNTIF(Q201,"*止损*")&gt;0,COUNTIF(Q201,"*阻塞*")&gt;0))),"1 立即处理",IF(OR(R201="强制今日",AND(F201="等待他人",M201=""),AND(ISNUMBER(M201),IF(MOD(M201,1)=0,INT(M201)+下拉列表!$H$2,M201)&lt;=$B$1),AND(ISNUMBER(N201),INT(IF(MOD(N201,1)=0,INT(N201)+下拉列表!$H$5,N201))=INT($B$1),IF(MOD(N201,1)=0,INT(N201)+下拉列表!$H$5,N201)&gt;$B$1),AND(ISNUMBER(N201),INT(IF(MOD(N201,1)=0,INT(N201)+下拉列表!$H$5,N201))=INT($B$1)+1),AND(COUNTIF(Q201,"*领导DDL*")&gt;0,ISNUMBER(N201),INT(IF(MOD(N201,1)=0,INT(N201)+下拉列表!$H$5,N201))&lt;=INT($B$1)+2)),"2 今日处理",IF(AND(F201="等待他人",ISNUMBER(M201),IF(MOD(M201,1)=0,INT(M201)+下拉列表!$H$2,M201)&gt;$B$1),"4 暂不关注","3 近期关注")))))</f>
        <v/>
      </c>
      <c r="C201" s="26"/>
      <c r="D201" s="26"/>
      <c r="E201" s="26"/>
      <c r="F201" s="26"/>
      <c r="G201" s="26"/>
      <c r="H201" s="26"/>
      <c r="I201" s="26"/>
      <c r="J201" s="26"/>
      <c r="K201" s="32"/>
      <c r="L201" s="32"/>
      <c r="M201" s="33"/>
      <c r="N201" s="33"/>
      <c r="O201" s="34" t="str">
        <f ca="1">IF(E201="","",IF(L201="","",MAX(0,INT($B$1)-INT(L201))))</f>
        <v/>
      </c>
      <c r="P201" s="26"/>
      <c r="Q201" s="26"/>
      <c r="R201" s="26"/>
    </row>
    <row r="202" spans="1:18">
      <c r="A202" s="26"/>
      <c r="B202" s="26" t="str">
        <f ca="1">IF(E202="","",IF(OR(F202="已完成",F202="已取消",F202="已移交"),"4 暂不关注",IF(OR(R202="强制立即",A202="▶",AND(ISNUMBER(N202),IF(MOD(N202,1)=0,INT(N202)+下拉列表!$H$5,N202)&lt;=$B$1),AND(F202&lt;&gt;"等待他人",OR(COUNTIF(Q202,"*止损*")&gt;0,COUNTIF(Q202,"*阻塞*")&gt;0))),"1 立即处理",IF(OR(R202="强制今日",AND(F202="等待他人",M202=""),AND(ISNUMBER(M202),IF(MOD(M202,1)=0,INT(M202)+下拉列表!$H$2,M202)&lt;=$B$1),AND(ISNUMBER(N202),INT(IF(MOD(N202,1)=0,INT(N202)+下拉列表!$H$5,N202))=INT($B$1),IF(MOD(N202,1)=0,INT(N202)+下拉列表!$H$5,N202)&gt;$B$1),AND(ISNUMBER(N202),INT(IF(MOD(N202,1)=0,INT(N202)+下拉列表!$H$5,N202))=INT($B$1)+1),AND(COUNTIF(Q202,"*领导DDL*")&gt;0,ISNUMBER(N202),INT(IF(MOD(N202,1)=0,INT(N202)+下拉列表!$H$5,N202))&lt;=INT($B$1)+2)),"2 今日处理",IF(AND(F202="等待他人",ISNUMBER(M202),IF(MOD(M202,1)=0,INT(M202)+下拉列表!$H$2,M202)&gt;$B$1),"4 暂不关注","3 近期关注")))))</f>
        <v/>
      </c>
      <c r="C202" s="26"/>
      <c r="D202" s="26"/>
      <c r="E202" s="26"/>
      <c r="F202" s="26"/>
      <c r="G202" s="26"/>
      <c r="H202" s="26"/>
      <c r="I202" s="26"/>
      <c r="J202" s="26"/>
      <c r="K202" s="32"/>
      <c r="L202" s="32"/>
      <c r="M202" s="33"/>
      <c r="N202" s="33"/>
      <c r="O202" s="34" t="str">
        <f ca="1">IF(E202="","",IF(L202="","",MAX(0,INT($B$1)-INT(L202))))</f>
        <v/>
      </c>
      <c r="P202" s="26"/>
      <c r="Q202" s="26"/>
      <c r="R202" s="26"/>
    </row>
    <row r="203" spans="1:18">
      <c r="A203" s="26"/>
      <c r="B203" s="26" t="str">
        <f ca="1">IF(E203="","",IF(OR(F203="已完成",F203="已取消",F203="已移交"),"4 暂不关注",IF(OR(R203="强制立即",A203="▶",AND(ISNUMBER(N203),IF(MOD(N203,1)=0,INT(N203)+下拉列表!$H$5,N203)&lt;=$B$1),AND(F203&lt;&gt;"等待他人",OR(COUNTIF(Q203,"*止损*")&gt;0,COUNTIF(Q203,"*阻塞*")&gt;0))),"1 立即处理",IF(OR(R203="强制今日",AND(F203="等待他人",M203=""),AND(ISNUMBER(M203),IF(MOD(M203,1)=0,INT(M203)+下拉列表!$H$2,M203)&lt;=$B$1),AND(ISNUMBER(N203),INT(IF(MOD(N203,1)=0,INT(N203)+下拉列表!$H$5,N203))=INT($B$1),IF(MOD(N203,1)=0,INT(N203)+下拉列表!$H$5,N203)&gt;$B$1),AND(ISNUMBER(N203),INT(IF(MOD(N203,1)=0,INT(N203)+下拉列表!$H$5,N203))=INT($B$1)+1),AND(COUNTIF(Q203,"*领导DDL*")&gt;0,ISNUMBER(N203),INT(IF(MOD(N203,1)=0,INT(N203)+下拉列表!$H$5,N203))&lt;=INT($B$1)+2)),"2 今日处理",IF(AND(F203="等待他人",ISNUMBER(M203),IF(MOD(M203,1)=0,INT(M203)+下拉列表!$H$2,M203)&gt;$B$1),"4 暂不关注","3 近期关注")))))</f>
        <v/>
      </c>
      <c r="C203" s="26"/>
      <c r="D203" s="26"/>
      <c r="E203" s="26"/>
      <c r="F203" s="26"/>
      <c r="G203" s="26"/>
      <c r="H203" s="26"/>
      <c r="I203" s="26"/>
      <c r="J203" s="26"/>
      <c r="K203" s="32"/>
      <c r="L203" s="32"/>
      <c r="M203" s="33"/>
      <c r="N203" s="33"/>
      <c r="O203" s="34" t="str">
        <f ca="1">IF(E203="","",IF(L203="","",MAX(0,INT($B$1)-INT(L203))))</f>
        <v/>
      </c>
      <c r="P203" s="26"/>
      <c r="Q203" s="26"/>
      <c r="R203" s="26"/>
    </row>
    <row r="204" spans="1:18">
      <c r="A204" s="26"/>
      <c r="B204" s="26" t="str">
        <f ca="1">IF(E204="","",IF(OR(F204="已完成",F204="已取消",F204="已移交"),"4 暂不关注",IF(OR(R204="强制立即",A204="▶",AND(ISNUMBER(N204),IF(MOD(N204,1)=0,INT(N204)+下拉列表!$H$5,N204)&lt;=$B$1),AND(F204&lt;&gt;"等待他人",OR(COUNTIF(Q204,"*止损*")&gt;0,COUNTIF(Q204,"*阻塞*")&gt;0))),"1 立即处理",IF(OR(R204="强制今日",AND(F204="等待他人",M204=""),AND(ISNUMBER(M204),IF(MOD(M204,1)=0,INT(M204)+下拉列表!$H$2,M204)&lt;=$B$1),AND(ISNUMBER(N204),INT(IF(MOD(N204,1)=0,INT(N204)+下拉列表!$H$5,N204))=INT($B$1),IF(MOD(N204,1)=0,INT(N204)+下拉列表!$H$5,N204)&gt;$B$1),AND(ISNUMBER(N204),INT(IF(MOD(N204,1)=0,INT(N204)+下拉列表!$H$5,N204))=INT($B$1)+1),AND(COUNTIF(Q204,"*领导DDL*")&gt;0,ISNUMBER(N204),INT(IF(MOD(N204,1)=0,INT(N204)+下拉列表!$H$5,N204))&lt;=INT($B$1)+2)),"2 今日处理",IF(AND(F204="等待他人",ISNUMBER(M204),IF(MOD(M204,1)=0,INT(M204)+下拉列表!$H$2,M204)&gt;$B$1),"4 暂不关注","3 近期关注")))))</f>
        <v/>
      </c>
      <c r="C204" s="26"/>
      <c r="D204" s="26"/>
      <c r="E204" s="26"/>
      <c r="F204" s="26"/>
      <c r="G204" s="26"/>
      <c r="H204" s="26"/>
      <c r="I204" s="26"/>
      <c r="J204" s="26"/>
      <c r="K204" s="32"/>
      <c r="L204" s="32"/>
      <c r="M204" s="33"/>
      <c r="N204" s="33"/>
      <c r="O204" s="34" t="str">
        <f ca="1">IF(E204="","",IF(L204="","",MAX(0,INT($B$1)-INT(L204))))</f>
        <v/>
      </c>
      <c r="P204" s="26"/>
      <c r="Q204" s="26"/>
      <c r="R204" s="26"/>
    </row>
    <row r="205" spans="1:18">
      <c r="A205" s="26"/>
      <c r="B205" s="26" t="str">
        <f ca="1">IF(E205="","",IF(OR(F205="已完成",F205="已取消",F205="已移交"),"4 暂不关注",IF(OR(R205="强制立即",A205="▶",AND(ISNUMBER(N205),IF(MOD(N205,1)=0,INT(N205)+下拉列表!$H$5,N205)&lt;=$B$1),AND(F205&lt;&gt;"等待他人",OR(COUNTIF(Q205,"*止损*")&gt;0,COUNTIF(Q205,"*阻塞*")&gt;0))),"1 立即处理",IF(OR(R205="强制今日",AND(F205="等待他人",M205=""),AND(ISNUMBER(M205),IF(MOD(M205,1)=0,INT(M205)+下拉列表!$H$2,M205)&lt;=$B$1),AND(ISNUMBER(N205),INT(IF(MOD(N205,1)=0,INT(N205)+下拉列表!$H$5,N205))=INT($B$1),IF(MOD(N205,1)=0,INT(N205)+下拉列表!$H$5,N205)&gt;$B$1),AND(ISNUMBER(N205),INT(IF(MOD(N205,1)=0,INT(N205)+下拉列表!$H$5,N205))=INT($B$1)+1),AND(COUNTIF(Q205,"*领导DDL*")&gt;0,ISNUMBER(N205),INT(IF(MOD(N205,1)=0,INT(N205)+下拉列表!$H$5,N205))&lt;=INT($B$1)+2)),"2 今日处理",IF(AND(F205="等待他人",ISNUMBER(M205),IF(MOD(M205,1)=0,INT(M205)+下拉列表!$H$2,M205)&gt;$B$1),"4 暂不关注","3 近期关注")))))</f>
        <v/>
      </c>
      <c r="C205" s="26"/>
      <c r="D205" s="26"/>
      <c r="E205" s="26"/>
      <c r="F205" s="26"/>
      <c r="G205" s="26"/>
      <c r="H205" s="26"/>
      <c r="I205" s="26"/>
      <c r="J205" s="26"/>
      <c r="K205" s="32"/>
      <c r="L205" s="32"/>
      <c r="M205" s="33"/>
      <c r="N205" s="33"/>
      <c r="O205" s="34" t="str">
        <f ca="1">IF(E205="","",IF(L205="","",MAX(0,INT($B$1)-INT(L205))))</f>
        <v/>
      </c>
      <c r="P205" s="26"/>
      <c r="Q205" s="26"/>
      <c r="R205" s="26"/>
    </row>
    <row r="206" spans="1:18">
      <c r="A206" s="26"/>
      <c r="B206" s="26" t="str">
        <f ca="1">IF(E206="","",IF(OR(F206="已完成",F206="已取消",F206="已移交"),"4 暂不关注",IF(OR(R206="强制立即",A206="▶",AND(ISNUMBER(N206),IF(MOD(N206,1)=0,INT(N206)+下拉列表!$H$5,N206)&lt;=$B$1),AND(F206&lt;&gt;"等待他人",OR(COUNTIF(Q206,"*止损*")&gt;0,COUNTIF(Q206,"*阻塞*")&gt;0))),"1 立即处理",IF(OR(R206="强制今日",AND(F206="等待他人",M206=""),AND(ISNUMBER(M206),IF(MOD(M206,1)=0,INT(M206)+下拉列表!$H$2,M206)&lt;=$B$1),AND(ISNUMBER(N206),INT(IF(MOD(N206,1)=0,INT(N206)+下拉列表!$H$5,N206))=INT($B$1),IF(MOD(N206,1)=0,INT(N206)+下拉列表!$H$5,N206)&gt;$B$1),AND(ISNUMBER(N206),INT(IF(MOD(N206,1)=0,INT(N206)+下拉列表!$H$5,N206))=INT($B$1)+1),AND(COUNTIF(Q206,"*领导DDL*")&gt;0,ISNUMBER(N206),INT(IF(MOD(N206,1)=0,INT(N206)+下拉列表!$H$5,N206))&lt;=INT($B$1)+2)),"2 今日处理",IF(AND(F206="等待他人",ISNUMBER(M206),IF(MOD(M206,1)=0,INT(M206)+下拉列表!$H$2,M206)&gt;$B$1),"4 暂不关注","3 近期关注")))))</f>
        <v/>
      </c>
      <c r="C206" s="26"/>
      <c r="D206" s="26"/>
      <c r="E206" s="26"/>
      <c r="F206" s="26"/>
      <c r="G206" s="26"/>
      <c r="H206" s="26"/>
      <c r="I206" s="26"/>
      <c r="J206" s="26"/>
      <c r="K206" s="32"/>
      <c r="L206" s="32"/>
      <c r="M206" s="33"/>
      <c r="N206" s="33"/>
      <c r="O206" s="34" t="str">
        <f ca="1">IF(E206="","",IF(L206="","",MAX(0,INT($B$1)-INT(L206))))</f>
        <v/>
      </c>
      <c r="P206" s="26"/>
      <c r="Q206" s="26"/>
      <c r="R206" s="26"/>
    </row>
    <row r="207" spans="1:18">
      <c r="A207" s="26"/>
      <c r="B207" s="26" t="str">
        <f ca="1">IF(E207="","",IF(OR(F207="已完成",F207="已取消",F207="已移交"),"4 暂不关注",IF(OR(R207="强制立即",A207="▶",AND(ISNUMBER(N207),IF(MOD(N207,1)=0,INT(N207)+下拉列表!$H$5,N207)&lt;=$B$1),AND(F207&lt;&gt;"等待他人",OR(COUNTIF(Q207,"*止损*")&gt;0,COUNTIF(Q207,"*阻塞*")&gt;0))),"1 立即处理",IF(OR(R207="强制今日",AND(F207="等待他人",M207=""),AND(ISNUMBER(M207),IF(MOD(M207,1)=0,INT(M207)+下拉列表!$H$2,M207)&lt;=$B$1),AND(ISNUMBER(N207),INT(IF(MOD(N207,1)=0,INT(N207)+下拉列表!$H$5,N207))=INT($B$1),IF(MOD(N207,1)=0,INT(N207)+下拉列表!$H$5,N207)&gt;$B$1),AND(ISNUMBER(N207),INT(IF(MOD(N207,1)=0,INT(N207)+下拉列表!$H$5,N207))=INT($B$1)+1),AND(COUNTIF(Q207,"*领导DDL*")&gt;0,ISNUMBER(N207),INT(IF(MOD(N207,1)=0,INT(N207)+下拉列表!$H$5,N207))&lt;=INT($B$1)+2)),"2 今日处理",IF(AND(F207="等待他人",ISNUMBER(M207),IF(MOD(M207,1)=0,INT(M207)+下拉列表!$H$2,M207)&gt;$B$1),"4 暂不关注","3 近期关注")))))</f>
        <v/>
      </c>
      <c r="C207" s="26"/>
      <c r="D207" s="26"/>
      <c r="E207" s="26"/>
      <c r="F207" s="26"/>
      <c r="G207" s="26"/>
      <c r="H207" s="26"/>
      <c r="I207" s="26"/>
      <c r="J207" s="26"/>
      <c r="K207" s="32"/>
      <c r="L207" s="32"/>
      <c r="M207" s="33"/>
      <c r="N207" s="33"/>
      <c r="O207" s="34" t="str">
        <f ca="1">IF(E207="","",IF(L207="","",MAX(0,INT($B$1)-INT(L207))))</f>
        <v/>
      </c>
      <c r="P207" s="26"/>
      <c r="Q207" s="26"/>
      <c r="R207" s="26"/>
    </row>
    <row r="208" spans="1:18">
      <c r="A208" s="26"/>
      <c r="B208" s="26" t="str">
        <f ca="1">IF(E208="","",IF(OR(F208="已完成",F208="已取消",F208="已移交"),"4 暂不关注",IF(OR(R208="强制立即",A208="▶",AND(ISNUMBER(N208),IF(MOD(N208,1)=0,INT(N208)+下拉列表!$H$5,N208)&lt;=$B$1),AND(F208&lt;&gt;"等待他人",OR(COUNTIF(Q208,"*止损*")&gt;0,COUNTIF(Q208,"*阻塞*")&gt;0))),"1 立即处理",IF(OR(R208="强制今日",AND(F208="等待他人",M208=""),AND(ISNUMBER(M208),IF(MOD(M208,1)=0,INT(M208)+下拉列表!$H$2,M208)&lt;=$B$1),AND(ISNUMBER(N208),INT(IF(MOD(N208,1)=0,INT(N208)+下拉列表!$H$5,N208))=INT($B$1),IF(MOD(N208,1)=0,INT(N208)+下拉列表!$H$5,N208)&gt;$B$1),AND(ISNUMBER(N208),INT(IF(MOD(N208,1)=0,INT(N208)+下拉列表!$H$5,N208))=INT($B$1)+1),AND(COUNTIF(Q208,"*领导DDL*")&gt;0,ISNUMBER(N208),INT(IF(MOD(N208,1)=0,INT(N208)+下拉列表!$H$5,N208))&lt;=INT($B$1)+2)),"2 今日处理",IF(AND(F208="等待他人",ISNUMBER(M208),IF(MOD(M208,1)=0,INT(M208)+下拉列表!$H$2,M208)&gt;$B$1),"4 暂不关注","3 近期关注")))))</f>
        <v/>
      </c>
      <c r="C208" s="26"/>
      <c r="D208" s="26"/>
      <c r="E208" s="26"/>
      <c r="F208" s="26"/>
      <c r="G208" s="26"/>
      <c r="H208" s="26"/>
      <c r="I208" s="26"/>
      <c r="J208" s="26"/>
      <c r="K208" s="32"/>
      <c r="L208" s="32"/>
      <c r="M208" s="33"/>
      <c r="N208" s="33"/>
      <c r="O208" s="34" t="str">
        <f ca="1">IF(E208="","",IF(L208="","",MAX(0,INT($B$1)-INT(L208))))</f>
        <v/>
      </c>
      <c r="P208" s="26"/>
      <c r="Q208" s="26"/>
      <c r="R208" s="26"/>
    </row>
    <row r="209" spans="1:18">
      <c r="A209" s="26"/>
      <c r="B209" s="26" t="str">
        <f ca="1">IF(E209="","",IF(OR(F209="已完成",F209="已取消",F209="已移交"),"4 暂不关注",IF(OR(R209="强制立即",A209="▶",AND(ISNUMBER(N209),IF(MOD(N209,1)=0,INT(N209)+下拉列表!$H$5,N209)&lt;=$B$1),AND(F209&lt;&gt;"等待他人",OR(COUNTIF(Q209,"*止损*")&gt;0,COUNTIF(Q209,"*阻塞*")&gt;0))),"1 立即处理",IF(OR(R209="强制今日",AND(F209="等待他人",M209=""),AND(ISNUMBER(M209),IF(MOD(M209,1)=0,INT(M209)+下拉列表!$H$2,M209)&lt;=$B$1),AND(ISNUMBER(N209),INT(IF(MOD(N209,1)=0,INT(N209)+下拉列表!$H$5,N209))=INT($B$1),IF(MOD(N209,1)=0,INT(N209)+下拉列表!$H$5,N209)&gt;$B$1),AND(ISNUMBER(N209),INT(IF(MOD(N209,1)=0,INT(N209)+下拉列表!$H$5,N209))=INT($B$1)+1),AND(COUNTIF(Q209,"*领导DDL*")&gt;0,ISNUMBER(N209),INT(IF(MOD(N209,1)=0,INT(N209)+下拉列表!$H$5,N209))&lt;=INT($B$1)+2)),"2 今日处理",IF(AND(F209="等待他人",ISNUMBER(M209),IF(MOD(M209,1)=0,INT(M209)+下拉列表!$H$2,M209)&gt;$B$1),"4 暂不关注","3 近期关注")))))</f>
        <v/>
      </c>
      <c r="C209" s="26"/>
      <c r="D209" s="26"/>
      <c r="E209" s="26"/>
      <c r="F209" s="26"/>
      <c r="G209" s="26"/>
      <c r="H209" s="26"/>
      <c r="I209" s="26"/>
      <c r="J209" s="26"/>
      <c r="K209" s="32"/>
      <c r="L209" s="32"/>
      <c r="M209" s="33"/>
      <c r="N209" s="33"/>
      <c r="O209" s="34" t="str">
        <f ca="1">IF(E209="","",IF(L209="","",MAX(0,INT($B$1)-INT(L209))))</f>
        <v/>
      </c>
      <c r="P209" s="26"/>
      <c r="Q209" s="26"/>
      <c r="R209" s="26"/>
    </row>
    <row r="210" spans="1:18">
      <c r="A210" s="26"/>
      <c r="B210" s="26" t="str">
        <f ca="1">IF(E210="","",IF(OR(F210="已完成",F210="已取消",F210="已移交"),"4 暂不关注",IF(OR(R210="强制立即",A210="▶",AND(ISNUMBER(N210),IF(MOD(N210,1)=0,INT(N210)+下拉列表!$H$5,N210)&lt;=$B$1),AND(F210&lt;&gt;"等待他人",OR(COUNTIF(Q210,"*止损*")&gt;0,COUNTIF(Q210,"*阻塞*")&gt;0))),"1 立即处理",IF(OR(R210="强制今日",AND(F210="等待他人",M210=""),AND(ISNUMBER(M210),IF(MOD(M210,1)=0,INT(M210)+下拉列表!$H$2,M210)&lt;=$B$1),AND(ISNUMBER(N210),INT(IF(MOD(N210,1)=0,INT(N210)+下拉列表!$H$5,N210))=INT($B$1),IF(MOD(N210,1)=0,INT(N210)+下拉列表!$H$5,N210)&gt;$B$1),AND(ISNUMBER(N210),INT(IF(MOD(N210,1)=0,INT(N210)+下拉列表!$H$5,N210))=INT($B$1)+1),AND(COUNTIF(Q210,"*领导DDL*")&gt;0,ISNUMBER(N210),INT(IF(MOD(N210,1)=0,INT(N210)+下拉列表!$H$5,N210))&lt;=INT($B$1)+2)),"2 今日处理",IF(AND(F210="等待他人",ISNUMBER(M210),IF(MOD(M210,1)=0,INT(M210)+下拉列表!$H$2,M210)&gt;$B$1),"4 暂不关注","3 近期关注")))))</f>
        <v/>
      </c>
      <c r="C210" s="26"/>
      <c r="D210" s="26"/>
      <c r="E210" s="26"/>
      <c r="F210" s="26"/>
      <c r="G210" s="26"/>
      <c r="H210" s="26"/>
      <c r="I210" s="26"/>
      <c r="J210" s="26"/>
      <c r="K210" s="32"/>
      <c r="L210" s="32"/>
      <c r="M210" s="33"/>
      <c r="N210" s="33"/>
      <c r="O210" s="34" t="str">
        <f ca="1">IF(E210="","",IF(L210="","",MAX(0,INT($B$1)-INT(L210))))</f>
        <v/>
      </c>
      <c r="P210" s="26"/>
      <c r="Q210" s="26"/>
      <c r="R210" s="26"/>
    </row>
    <row r="211" spans="1:18">
      <c r="A211" s="26"/>
      <c r="B211" s="26" t="str">
        <f ca="1">IF(E211="","",IF(OR(F211="已完成",F211="已取消",F211="已移交"),"4 暂不关注",IF(OR(R211="强制立即",A211="▶",AND(ISNUMBER(N211),IF(MOD(N211,1)=0,INT(N211)+下拉列表!$H$5,N211)&lt;=$B$1),AND(F211&lt;&gt;"等待他人",OR(COUNTIF(Q211,"*止损*")&gt;0,COUNTIF(Q211,"*阻塞*")&gt;0))),"1 立即处理",IF(OR(R211="强制今日",AND(F211="等待他人",M211=""),AND(ISNUMBER(M211),IF(MOD(M211,1)=0,INT(M211)+下拉列表!$H$2,M211)&lt;=$B$1),AND(ISNUMBER(N211),INT(IF(MOD(N211,1)=0,INT(N211)+下拉列表!$H$5,N211))=INT($B$1),IF(MOD(N211,1)=0,INT(N211)+下拉列表!$H$5,N211)&gt;$B$1),AND(ISNUMBER(N211),INT(IF(MOD(N211,1)=0,INT(N211)+下拉列表!$H$5,N211))=INT($B$1)+1),AND(COUNTIF(Q211,"*领导DDL*")&gt;0,ISNUMBER(N211),INT(IF(MOD(N211,1)=0,INT(N211)+下拉列表!$H$5,N211))&lt;=INT($B$1)+2)),"2 今日处理",IF(AND(F211="等待他人",ISNUMBER(M211),IF(MOD(M211,1)=0,INT(M211)+下拉列表!$H$2,M211)&gt;$B$1),"4 暂不关注","3 近期关注")))))</f>
        <v/>
      </c>
      <c r="C211" s="26"/>
      <c r="D211" s="26"/>
      <c r="E211" s="26"/>
      <c r="F211" s="26"/>
      <c r="G211" s="26"/>
      <c r="H211" s="26"/>
      <c r="I211" s="26"/>
      <c r="J211" s="26"/>
      <c r="K211" s="32"/>
      <c r="L211" s="32"/>
      <c r="M211" s="33"/>
      <c r="N211" s="33"/>
      <c r="O211" s="34" t="str">
        <f ca="1">IF(E211="","",IF(L211="","",MAX(0,INT($B$1)-INT(L211))))</f>
        <v/>
      </c>
      <c r="P211" s="26"/>
      <c r="Q211" s="26"/>
      <c r="R211" s="26"/>
    </row>
    <row r="212" spans="1:18">
      <c r="A212" s="26"/>
      <c r="B212" s="26" t="str">
        <f ca="1">IF(E212="","",IF(OR(F212="已完成",F212="已取消",F212="已移交"),"4 暂不关注",IF(OR(R212="强制立即",A212="▶",AND(ISNUMBER(N212),IF(MOD(N212,1)=0,INT(N212)+下拉列表!$H$5,N212)&lt;=$B$1),AND(F212&lt;&gt;"等待他人",OR(COUNTIF(Q212,"*止损*")&gt;0,COUNTIF(Q212,"*阻塞*")&gt;0))),"1 立即处理",IF(OR(R212="强制今日",AND(F212="等待他人",M212=""),AND(ISNUMBER(M212),IF(MOD(M212,1)=0,INT(M212)+下拉列表!$H$2,M212)&lt;=$B$1),AND(ISNUMBER(N212),INT(IF(MOD(N212,1)=0,INT(N212)+下拉列表!$H$5,N212))=INT($B$1),IF(MOD(N212,1)=0,INT(N212)+下拉列表!$H$5,N212)&gt;$B$1),AND(ISNUMBER(N212),INT(IF(MOD(N212,1)=0,INT(N212)+下拉列表!$H$5,N212))=INT($B$1)+1),AND(COUNTIF(Q212,"*领导DDL*")&gt;0,ISNUMBER(N212),INT(IF(MOD(N212,1)=0,INT(N212)+下拉列表!$H$5,N212))&lt;=INT($B$1)+2)),"2 今日处理",IF(AND(F212="等待他人",ISNUMBER(M212),IF(MOD(M212,1)=0,INT(M212)+下拉列表!$H$2,M212)&gt;$B$1),"4 暂不关注","3 近期关注")))))</f>
        <v/>
      </c>
      <c r="C212" s="26"/>
      <c r="D212" s="26"/>
      <c r="E212" s="26"/>
      <c r="F212" s="26"/>
      <c r="G212" s="26"/>
      <c r="H212" s="26"/>
      <c r="I212" s="26"/>
      <c r="J212" s="26"/>
      <c r="K212" s="32"/>
      <c r="L212" s="32"/>
      <c r="M212" s="33"/>
      <c r="N212" s="33"/>
      <c r="O212" s="34" t="str">
        <f ca="1">IF(E212="","",IF(L212="","",MAX(0,INT($B$1)-INT(L212))))</f>
        <v/>
      </c>
      <c r="P212" s="26"/>
      <c r="Q212" s="26"/>
      <c r="R212" s="26"/>
    </row>
    <row r="213" spans="1:18">
      <c r="A213" s="26"/>
      <c r="B213" s="26" t="str">
        <f ca="1">IF(E213="","",IF(OR(F213="已完成",F213="已取消",F213="已移交"),"4 暂不关注",IF(OR(R213="强制立即",A213="▶",AND(ISNUMBER(N213),IF(MOD(N213,1)=0,INT(N213)+下拉列表!$H$5,N213)&lt;=$B$1),AND(F213&lt;&gt;"等待他人",OR(COUNTIF(Q213,"*止损*")&gt;0,COUNTIF(Q213,"*阻塞*")&gt;0))),"1 立即处理",IF(OR(R213="强制今日",AND(F213="等待他人",M213=""),AND(ISNUMBER(M213),IF(MOD(M213,1)=0,INT(M213)+下拉列表!$H$2,M213)&lt;=$B$1),AND(ISNUMBER(N213),INT(IF(MOD(N213,1)=0,INT(N213)+下拉列表!$H$5,N213))=INT($B$1),IF(MOD(N213,1)=0,INT(N213)+下拉列表!$H$5,N213)&gt;$B$1),AND(ISNUMBER(N213),INT(IF(MOD(N213,1)=0,INT(N213)+下拉列表!$H$5,N213))=INT($B$1)+1),AND(COUNTIF(Q213,"*领导DDL*")&gt;0,ISNUMBER(N213),INT(IF(MOD(N213,1)=0,INT(N213)+下拉列表!$H$5,N213))&lt;=INT($B$1)+2)),"2 今日处理",IF(AND(F213="等待他人",ISNUMBER(M213),IF(MOD(M213,1)=0,INT(M213)+下拉列表!$H$2,M213)&gt;$B$1),"4 暂不关注","3 近期关注")))))</f>
        <v/>
      </c>
      <c r="C213" s="26"/>
      <c r="D213" s="26"/>
      <c r="E213" s="26"/>
      <c r="F213" s="26"/>
      <c r="G213" s="26"/>
      <c r="H213" s="26"/>
      <c r="I213" s="26"/>
      <c r="J213" s="26"/>
      <c r="K213" s="32"/>
      <c r="L213" s="32"/>
      <c r="M213" s="33"/>
      <c r="N213" s="33"/>
      <c r="O213" s="34" t="str">
        <f ca="1">IF(E213="","",IF(L213="","",MAX(0,INT($B$1)-INT(L213))))</f>
        <v/>
      </c>
      <c r="P213" s="26"/>
      <c r="Q213" s="26"/>
      <c r="R213" s="26"/>
    </row>
    <row r="214" spans="1:18">
      <c r="A214" s="26"/>
      <c r="B214" s="26" t="str">
        <f ca="1">IF(E214="","",IF(OR(F214="已完成",F214="已取消",F214="已移交"),"4 暂不关注",IF(OR(R214="强制立即",A214="▶",AND(ISNUMBER(N214),IF(MOD(N214,1)=0,INT(N214)+下拉列表!$H$5,N214)&lt;=$B$1),AND(F214&lt;&gt;"等待他人",OR(COUNTIF(Q214,"*止损*")&gt;0,COUNTIF(Q214,"*阻塞*")&gt;0))),"1 立即处理",IF(OR(R214="强制今日",AND(F214="等待他人",M214=""),AND(ISNUMBER(M214),IF(MOD(M214,1)=0,INT(M214)+下拉列表!$H$2,M214)&lt;=$B$1),AND(ISNUMBER(N214),INT(IF(MOD(N214,1)=0,INT(N214)+下拉列表!$H$5,N214))=INT($B$1),IF(MOD(N214,1)=0,INT(N214)+下拉列表!$H$5,N214)&gt;$B$1),AND(ISNUMBER(N214),INT(IF(MOD(N214,1)=0,INT(N214)+下拉列表!$H$5,N214))=INT($B$1)+1),AND(COUNTIF(Q214,"*领导DDL*")&gt;0,ISNUMBER(N214),INT(IF(MOD(N214,1)=0,INT(N214)+下拉列表!$H$5,N214))&lt;=INT($B$1)+2)),"2 今日处理",IF(AND(F214="等待他人",ISNUMBER(M214),IF(MOD(M214,1)=0,INT(M214)+下拉列表!$H$2,M214)&gt;$B$1),"4 暂不关注","3 近期关注")))))</f>
        <v/>
      </c>
      <c r="C214" s="26"/>
      <c r="D214" s="26"/>
      <c r="E214" s="26"/>
      <c r="F214" s="26"/>
      <c r="G214" s="26"/>
      <c r="H214" s="26"/>
      <c r="I214" s="26"/>
      <c r="J214" s="26"/>
      <c r="K214" s="32"/>
      <c r="L214" s="32"/>
      <c r="M214" s="33"/>
      <c r="N214" s="33"/>
      <c r="O214" s="34" t="str">
        <f ca="1">IF(E214="","",IF(L214="","",MAX(0,INT($B$1)-INT(L214))))</f>
        <v/>
      </c>
      <c r="P214" s="26"/>
      <c r="Q214" s="26"/>
      <c r="R214" s="26"/>
    </row>
    <row r="215" spans="1:18">
      <c r="A215" s="26"/>
      <c r="B215" s="26" t="str">
        <f ca="1">IF(E215="","",IF(OR(F215="已完成",F215="已取消",F215="已移交"),"4 暂不关注",IF(OR(R215="强制立即",A215="▶",AND(ISNUMBER(N215),IF(MOD(N215,1)=0,INT(N215)+下拉列表!$H$5,N215)&lt;=$B$1),AND(F215&lt;&gt;"等待他人",OR(COUNTIF(Q215,"*止损*")&gt;0,COUNTIF(Q215,"*阻塞*")&gt;0))),"1 立即处理",IF(OR(R215="强制今日",AND(F215="等待他人",M215=""),AND(ISNUMBER(M215),IF(MOD(M215,1)=0,INT(M215)+下拉列表!$H$2,M215)&lt;=$B$1),AND(ISNUMBER(N215),INT(IF(MOD(N215,1)=0,INT(N215)+下拉列表!$H$5,N215))=INT($B$1),IF(MOD(N215,1)=0,INT(N215)+下拉列表!$H$5,N215)&gt;$B$1),AND(ISNUMBER(N215),INT(IF(MOD(N215,1)=0,INT(N215)+下拉列表!$H$5,N215))=INT($B$1)+1),AND(COUNTIF(Q215,"*领导DDL*")&gt;0,ISNUMBER(N215),INT(IF(MOD(N215,1)=0,INT(N215)+下拉列表!$H$5,N215))&lt;=INT($B$1)+2)),"2 今日处理",IF(AND(F215="等待他人",ISNUMBER(M215),IF(MOD(M215,1)=0,INT(M215)+下拉列表!$H$2,M215)&gt;$B$1),"4 暂不关注","3 近期关注")))))</f>
        <v/>
      </c>
      <c r="C215" s="26"/>
      <c r="D215" s="26"/>
      <c r="E215" s="26"/>
      <c r="F215" s="26"/>
      <c r="G215" s="26"/>
      <c r="H215" s="26"/>
      <c r="I215" s="26"/>
      <c r="J215" s="26"/>
      <c r="K215" s="32"/>
      <c r="L215" s="32"/>
      <c r="M215" s="33"/>
      <c r="N215" s="33"/>
      <c r="O215" s="34" t="str">
        <f ca="1">IF(E215="","",IF(L215="","",MAX(0,INT($B$1)-INT(L215))))</f>
        <v/>
      </c>
      <c r="P215" s="26"/>
      <c r="Q215" s="26"/>
      <c r="R215" s="26"/>
    </row>
    <row r="216" spans="1:18">
      <c r="A216" s="26"/>
      <c r="B216" s="26" t="str">
        <f ca="1">IF(E216="","",IF(OR(F216="已完成",F216="已取消",F216="已移交"),"4 暂不关注",IF(OR(R216="强制立即",A216="▶",AND(ISNUMBER(N216),IF(MOD(N216,1)=0,INT(N216)+下拉列表!$H$5,N216)&lt;=$B$1),AND(F216&lt;&gt;"等待他人",OR(COUNTIF(Q216,"*止损*")&gt;0,COUNTIF(Q216,"*阻塞*")&gt;0))),"1 立即处理",IF(OR(R216="强制今日",AND(F216="等待他人",M216=""),AND(ISNUMBER(M216),IF(MOD(M216,1)=0,INT(M216)+下拉列表!$H$2,M216)&lt;=$B$1),AND(ISNUMBER(N216),INT(IF(MOD(N216,1)=0,INT(N216)+下拉列表!$H$5,N216))=INT($B$1),IF(MOD(N216,1)=0,INT(N216)+下拉列表!$H$5,N216)&gt;$B$1),AND(ISNUMBER(N216),INT(IF(MOD(N216,1)=0,INT(N216)+下拉列表!$H$5,N216))=INT($B$1)+1),AND(COUNTIF(Q216,"*领导DDL*")&gt;0,ISNUMBER(N216),INT(IF(MOD(N216,1)=0,INT(N216)+下拉列表!$H$5,N216))&lt;=INT($B$1)+2)),"2 今日处理",IF(AND(F216="等待他人",ISNUMBER(M216),IF(MOD(M216,1)=0,INT(M216)+下拉列表!$H$2,M216)&gt;$B$1),"4 暂不关注","3 近期关注")))))</f>
        <v/>
      </c>
      <c r="C216" s="26"/>
      <c r="D216" s="26"/>
      <c r="E216" s="26"/>
      <c r="F216" s="26"/>
      <c r="G216" s="26"/>
      <c r="H216" s="26"/>
      <c r="I216" s="26"/>
      <c r="J216" s="26"/>
      <c r="K216" s="32"/>
      <c r="L216" s="32"/>
      <c r="M216" s="33"/>
      <c r="N216" s="33"/>
      <c r="O216" s="34" t="str">
        <f ca="1">IF(E216="","",IF(L216="","",MAX(0,INT($B$1)-INT(L216))))</f>
        <v/>
      </c>
      <c r="P216" s="26"/>
      <c r="Q216" s="26"/>
      <c r="R216" s="26"/>
    </row>
    <row r="217" spans="1:18">
      <c r="A217" s="26"/>
      <c r="B217" s="26" t="str">
        <f ca="1">IF(E217="","",IF(OR(F217="已完成",F217="已取消",F217="已移交"),"4 暂不关注",IF(OR(R217="强制立即",A217="▶",AND(ISNUMBER(N217),IF(MOD(N217,1)=0,INT(N217)+下拉列表!$H$5,N217)&lt;=$B$1),AND(F217&lt;&gt;"等待他人",OR(COUNTIF(Q217,"*止损*")&gt;0,COUNTIF(Q217,"*阻塞*")&gt;0))),"1 立即处理",IF(OR(R217="强制今日",AND(F217="等待他人",M217=""),AND(ISNUMBER(M217),IF(MOD(M217,1)=0,INT(M217)+下拉列表!$H$2,M217)&lt;=$B$1),AND(ISNUMBER(N217),INT(IF(MOD(N217,1)=0,INT(N217)+下拉列表!$H$5,N217))=INT($B$1),IF(MOD(N217,1)=0,INT(N217)+下拉列表!$H$5,N217)&gt;$B$1),AND(ISNUMBER(N217),INT(IF(MOD(N217,1)=0,INT(N217)+下拉列表!$H$5,N217))=INT($B$1)+1),AND(COUNTIF(Q217,"*领导DDL*")&gt;0,ISNUMBER(N217),INT(IF(MOD(N217,1)=0,INT(N217)+下拉列表!$H$5,N217))&lt;=INT($B$1)+2)),"2 今日处理",IF(AND(F217="等待他人",ISNUMBER(M217),IF(MOD(M217,1)=0,INT(M217)+下拉列表!$H$2,M217)&gt;$B$1),"4 暂不关注","3 近期关注")))))</f>
        <v/>
      </c>
      <c r="C217" s="26"/>
      <c r="D217" s="26"/>
      <c r="E217" s="26"/>
      <c r="F217" s="26"/>
      <c r="G217" s="26"/>
      <c r="H217" s="26"/>
      <c r="I217" s="26"/>
      <c r="J217" s="26"/>
      <c r="K217" s="32"/>
      <c r="L217" s="32"/>
      <c r="M217" s="33"/>
      <c r="N217" s="33"/>
      <c r="O217" s="34" t="str">
        <f ca="1">IF(E217="","",IF(L217="","",MAX(0,INT($B$1)-INT(L217))))</f>
        <v/>
      </c>
      <c r="P217" s="26"/>
      <c r="Q217" s="26"/>
      <c r="R217" s="26"/>
    </row>
    <row r="218" spans="1:18">
      <c r="A218" s="26"/>
      <c r="B218" s="26" t="str">
        <f ca="1">IF(E218="","",IF(OR(F218="已完成",F218="已取消",F218="已移交"),"4 暂不关注",IF(OR(R218="强制立即",A218="▶",AND(ISNUMBER(N218),IF(MOD(N218,1)=0,INT(N218)+下拉列表!$H$5,N218)&lt;=$B$1),AND(F218&lt;&gt;"等待他人",OR(COUNTIF(Q218,"*止损*")&gt;0,COUNTIF(Q218,"*阻塞*")&gt;0))),"1 立即处理",IF(OR(R218="强制今日",AND(F218="等待他人",M218=""),AND(ISNUMBER(M218),IF(MOD(M218,1)=0,INT(M218)+下拉列表!$H$2,M218)&lt;=$B$1),AND(ISNUMBER(N218),INT(IF(MOD(N218,1)=0,INT(N218)+下拉列表!$H$5,N218))=INT($B$1),IF(MOD(N218,1)=0,INT(N218)+下拉列表!$H$5,N218)&gt;$B$1),AND(ISNUMBER(N218),INT(IF(MOD(N218,1)=0,INT(N218)+下拉列表!$H$5,N218))=INT($B$1)+1),AND(COUNTIF(Q218,"*领导DDL*")&gt;0,ISNUMBER(N218),INT(IF(MOD(N218,1)=0,INT(N218)+下拉列表!$H$5,N218))&lt;=INT($B$1)+2)),"2 今日处理",IF(AND(F218="等待他人",ISNUMBER(M218),IF(MOD(M218,1)=0,INT(M218)+下拉列表!$H$2,M218)&gt;$B$1),"4 暂不关注","3 近期关注")))))</f>
        <v/>
      </c>
      <c r="C218" s="26"/>
      <c r="D218" s="26"/>
      <c r="E218" s="26"/>
      <c r="F218" s="26"/>
      <c r="G218" s="26"/>
      <c r="H218" s="26"/>
      <c r="I218" s="26"/>
      <c r="J218" s="26"/>
      <c r="K218" s="32"/>
      <c r="L218" s="32"/>
      <c r="M218" s="33"/>
      <c r="N218" s="33"/>
      <c r="O218" s="34" t="str">
        <f ca="1">IF(E218="","",IF(L218="","",MAX(0,INT($B$1)-INT(L218))))</f>
        <v/>
      </c>
      <c r="P218" s="26"/>
      <c r="Q218" s="26"/>
      <c r="R218" s="26"/>
    </row>
    <row r="219" spans="1:18">
      <c r="A219" s="26"/>
      <c r="B219" s="26" t="str">
        <f ca="1">IF(E219="","",IF(OR(F219="已完成",F219="已取消",F219="已移交"),"4 暂不关注",IF(OR(R219="强制立即",A219="▶",AND(ISNUMBER(N219),IF(MOD(N219,1)=0,INT(N219)+下拉列表!$H$5,N219)&lt;=$B$1),AND(F219&lt;&gt;"等待他人",OR(COUNTIF(Q219,"*止损*")&gt;0,COUNTIF(Q219,"*阻塞*")&gt;0))),"1 立即处理",IF(OR(R219="强制今日",AND(F219="等待他人",M219=""),AND(ISNUMBER(M219),IF(MOD(M219,1)=0,INT(M219)+下拉列表!$H$2,M219)&lt;=$B$1),AND(ISNUMBER(N219),INT(IF(MOD(N219,1)=0,INT(N219)+下拉列表!$H$5,N219))=INT($B$1),IF(MOD(N219,1)=0,INT(N219)+下拉列表!$H$5,N219)&gt;$B$1),AND(ISNUMBER(N219),INT(IF(MOD(N219,1)=0,INT(N219)+下拉列表!$H$5,N219))=INT($B$1)+1),AND(COUNTIF(Q219,"*领导DDL*")&gt;0,ISNUMBER(N219),INT(IF(MOD(N219,1)=0,INT(N219)+下拉列表!$H$5,N219))&lt;=INT($B$1)+2)),"2 今日处理",IF(AND(F219="等待他人",ISNUMBER(M219),IF(MOD(M219,1)=0,INT(M219)+下拉列表!$H$2,M219)&gt;$B$1),"4 暂不关注","3 近期关注")))))</f>
        <v/>
      </c>
      <c r="C219" s="26"/>
      <c r="D219" s="26"/>
      <c r="E219" s="26"/>
      <c r="F219" s="26"/>
      <c r="G219" s="26"/>
      <c r="H219" s="26"/>
      <c r="I219" s="26"/>
      <c r="J219" s="26"/>
      <c r="K219" s="32"/>
      <c r="L219" s="32"/>
      <c r="M219" s="33"/>
      <c r="N219" s="33"/>
      <c r="O219" s="34" t="str">
        <f ca="1">IF(E219="","",IF(L219="","",MAX(0,INT($B$1)-INT(L219))))</f>
        <v/>
      </c>
      <c r="P219" s="26"/>
      <c r="Q219" s="26"/>
      <c r="R219" s="26"/>
    </row>
    <row r="220" spans="1:18">
      <c r="A220" s="26"/>
      <c r="B220" s="26" t="str">
        <f ca="1">IF(E220="","",IF(OR(F220="已完成",F220="已取消",F220="已移交"),"4 暂不关注",IF(OR(R220="强制立即",A220="▶",AND(ISNUMBER(N220),IF(MOD(N220,1)=0,INT(N220)+下拉列表!$H$5,N220)&lt;=$B$1),AND(F220&lt;&gt;"等待他人",OR(COUNTIF(Q220,"*止损*")&gt;0,COUNTIF(Q220,"*阻塞*")&gt;0))),"1 立即处理",IF(OR(R220="强制今日",AND(F220="等待他人",M220=""),AND(ISNUMBER(M220),IF(MOD(M220,1)=0,INT(M220)+下拉列表!$H$2,M220)&lt;=$B$1),AND(ISNUMBER(N220),INT(IF(MOD(N220,1)=0,INT(N220)+下拉列表!$H$5,N220))=INT($B$1),IF(MOD(N220,1)=0,INT(N220)+下拉列表!$H$5,N220)&gt;$B$1),AND(ISNUMBER(N220),INT(IF(MOD(N220,1)=0,INT(N220)+下拉列表!$H$5,N220))=INT($B$1)+1),AND(COUNTIF(Q220,"*领导DDL*")&gt;0,ISNUMBER(N220),INT(IF(MOD(N220,1)=0,INT(N220)+下拉列表!$H$5,N220))&lt;=INT($B$1)+2)),"2 今日处理",IF(AND(F220="等待他人",ISNUMBER(M220),IF(MOD(M220,1)=0,INT(M220)+下拉列表!$H$2,M220)&gt;$B$1),"4 暂不关注","3 近期关注")))))</f>
        <v/>
      </c>
      <c r="C220" s="26"/>
      <c r="D220" s="26"/>
      <c r="E220" s="26"/>
      <c r="F220" s="26"/>
      <c r="G220" s="26"/>
      <c r="H220" s="26"/>
      <c r="I220" s="26"/>
      <c r="J220" s="26"/>
      <c r="K220" s="32"/>
      <c r="L220" s="32"/>
      <c r="M220" s="33"/>
      <c r="N220" s="33"/>
      <c r="O220" s="34" t="str">
        <f ca="1">IF(E220="","",IF(L220="","",MAX(0,INT($B$1)-INT(L220))))</f>
        <v/>
      </c>
      <c r="P220" s="26"/>
      <c r="Q220" s="26"/>
      <c r="R220" s="26"/>
    </row>
    <row r="221" spans="1:18">
      <c r="A221" s="26"/>
      <c r="B221" s="26" t="str">
        <f ca="1">IF(E221="","",IF(OR(F221="已完成",F221="已取消",F221="已移交"),"4 暂不关注",IF(OR(R221="强制立即",A221="▶",AND(ISNUMBER(N221),IF(MOD(N221,1)=0,INT(N221)+下拉列表!$H$5,N221)&lt;=$B$1),AND(F221&lt;&gt;"等待他人",OR(COUNTIF(Q221,"*止损*")&gt;0,COUNTIF(Q221,"*阻塞*")&gt;0))),"1 立即处理",IF(OR(R221="强制今日",AND(F221="等待他人",M221=""),AND(ISNUMBER(M221),IF(MOD(M221,1)=0,INT(M221)+下拉列表!$H$2,M221)&lt;=$B$1),AND(ISNUMBER(N221),INT(IF(MOD(N221,1)=0,INT(N221)+下拉列表!$H$5,N221))=INT($B$1),IF(MOD(N221,1)=0,INT(N221)+下拉列表!$H$5,N221)&gt;$B$1),AND(ISNUMBER(N221),INT(IF(MOD(N221,1)=0,INT(N221)+下拉列表!$H$5,N221))=INT($B$1)+1),AND(COUNTIF(Q221,"*领导DDL*")&gt;0,ISNUMBER(N221),INT(IF(MOD(N221,1)=0,INT(N221)+下拉列表!$H$5,N221))&lt;=INT($B$1)+2)),"2 今日处理",IF(AND(F221="等待他人",ISNUMBER(M221),IF(MOD(M221,1)=0,INT(M221)+下拉列表!$H$2,M221)&gt;$B$1),"4 暂不关注","3 近期关注")))))</f>
        <v/>
      </c>
      <c r="C221" s="26"/>
      <c r="D221" s="26"/>
      <c r="E221" s="26"/>
      <c r="F221" s="26"/>
      <c r="G221" s="26"/>
      <c r="H221" s="26"/>
      <c r="I221" s="26"/>
      <c r="J221" s="26"/>
      <c r="K221" s="32"/>
      <c r="L221" s="32"/>
      <c r="M221" s="33"/>
      <c r="N221" s="33"/>
      <c r="O221" s="34" t="str">
        <f ca="1">IF(E221="","",IF(L221="","",MAX(0,INT($B$1)-INT(L221))))</f>
        <v/>
      </c>
      <c r="P221" s="26"/>
      <c r="Q221" s="26"/>
      <c r="R221" s="26"/>
    </row>
    <row r="222" spans="1:18">
      <c r="A222" s="26"/>
      <c r="B222" s="26" t="str">
        <f ca="1">IF(E222="","",IF(OR(F222="已完成",F222="已取消",F222="已移交"),"4 暂不关注",IF(OR(R222="强制立即",A222="▶",AND(ISNUMBER(N222),IF(MOD(N222,1)=0,INT(N222)+下拉列表!$H$5,N222)&lt;=$B$1),AND(F222&lt;&gt;"等待他人",OR(COUNTIF(Q222,"*止损*")&gt;0,COUNTIF(Q222,"*阻塞*")&gt;0))),"1 立即处理",IF(OR(R222="强制今日",AND(F222="等待他人",M222=""),AND(ISNUMBER(M222),IF(MOD(M222,1)=0,INT(M222)+下拉列表!$H$2,M222)&lt;=$B$1),AND(ISNUMBER(N222),INT(IF(MOD(N222,1)=0,INT(N222)+下拉列表!$H$5,N222))=INT($B$1),IF(MOD(N222,1)=0,INT(N222)+下拉列表!$H$5,N222)&gt;$B$1),AND(ISNUMBER(N222),INT(IF(MOD(N222,1)=0,INT(N222)+下拉列表!$H$5,N222))=INT($B$1)+1),AND(COUNTIF(Q222,"*领导DDL*")&gt;0,ISNUMBER(N222),INT(IF(MOD(N222,1)=0,INT(N222)+下拉列表!$H$5,N222))&lt;=INT($B$1)+2)),"2 今日处理",IF(AND(F222="等待他人",ISNUMBER(M222),IF(MOD(M222,1)=0,INT(M222)+下拉列表!$H$2,M222)&gt;$B$1),"4 暂不关注","3 近期关注")))))</f>
        <v/>
      </c>
      <c r="C222" s="26"/>
      <c r="D222" s="26"/>
      <c r="E222" s="26"/>
      <c r="F222" s="26"/>
      <c r="G222" s="26"/>
      <c r="H222" s="26"/>
      <c r="I222" s="26"/>
      <c r="J222" s="26"/>
      <c r="K222" s="32"/>
      <c r="L222" s="32"/>
      <c r="M222" s="33"/>
      <c r="N222" s="33"/>
      <c r="O222" s="34" t="str">
        <f ca="1">IF(E222="","",IF(L222="","",MAX(0,INT($B$1)-INT(L222))))</f>
        <v/>
      </c>
      <c r="P222" s="26"/>
      <c r="Q222" s="26"/>
      <c r="R222" s="26"/>
    </row>
    <row r="223" spans="1:18">
      <c r="A223" s="26"/>
      <c r="B223" s="26" t="str">
        <f ca="1">IF(E223="","",IF(OR(F223="已完成",F223="已取消",F223="已移交"),"4 暂不关注",IF(OR(R223="强制立即",A223="▶",AND(ISNUMBER(N223),IF(MOD(N223,1)=0,INT(N223)+下拉列表!$H$5,N223)&lt;=$B$1),AND(F223&lt;&gt;"等待他人",OR(COUNTIF(Q223,"*止损*")&gt;0,COUNTIF(Q223,"*阻塞*")&gt;0))),"1 立即处理",IF(OR(R223="强制今日",AND(F223="等待他人",M223=""),AND(ISNUMBER(M223),IF(MOD(M223,1)=0,INT(M223)+下拉列表!$H$2,M223)&lt;=$B$1),AND(ISNUMBER(N223),INT(IF(MOD(N223,1)=0,INT(N223)+下拉列表!$H$5,N223))=INT($B$1),IF(MOD(N223,1)=0,INT(N223)+下拉列表!$H$5,N223)&gt;$B$1),AND(ISNUMBER(N223),INT(IF(MOD(N223,1)=0,INT(N223)+下拉列表!$H$5,N223))=INT($B$1)+1),AND(COUNTIF(Q223,"*领导DDL*")&gt;0,ISNUMBER(N223),INT(IF(MOD(N223,1)=0,INT(N223)+下拉列表!$H$5,N223))&lt;=INT($B$1)+2)),"2 今日处理",IF(AND(F223="等待他人",ISNUMBER(M223),IF(MOD(M223,1)=0,INT(M223)+下拉列表!$H$2,M223)&gt;$B$1),"4 暂不关注","3 近期关注")))))</f>
        <v/>
      </c>
      <c r="C223" s="26"/>
      <c r="D223" s="26"/>
      <c r="E223" s="26"/>
      <c r="F223" s="26"/>
      <c r="G223" s="26"/>
      <c r="H223" s="26"/>
      <c r="I223" s="26"/>
      <c r="J223" s="26"/>
      <c r="K223" s="32"/>
      <c r="L223" s="32"/>
      <c r="M223" s="33"/>
      <c r="N223" s="33"/>
      <c r="O223" s="34" t="str">
        <f ca="1">IF(E223="","",IF(L223="","",MAX(0,INT($B$1)-INT(L223))))</f>
        <v/>
      </c>
      <c r="P223" s="26"/>
      <c r="Q223" s="26"/>
      <c r="R223" s="26"/>
    </row>
    <row r="224" spans="1:18">
      <c r="A224" s="26"/>
      <c r="B224" s="26" t="str">
        <f ca="1">IF(E224="","",IF(OR(F224="已完成",F224="已取消",F224="已移交"),"4 暂不关注",IF(OR(R224="强制立即",A224="▶",AND(ISNUMBER(N224),IF(MOD(N224,1)=0,INT(N224)+下拉列表!$H$5,N224)&lt;=$B$1),AND(F224&lt;&gt;"等待他人",OR(COUNTIF(Q224,"*止损*")&gt;0,COUNTIF(Q224,"*阻塞*")&gt;0))),"1 立即处理",IF(OR(R224="强制今日",AND(F224="等待他人",M224=""),AND(ISNUMBER(M224),IF(MOD(M224,1)=0,INT(M224)+下拉列表!$H$2,M224)&lt;=$B$1),AND(ISNUMBER(N224),INT(IF(MOD(N224,1)=0,INT(N224)+下拉列表!$H$5,N224))=INT($B$1),IF(MOD(N224,1)=0,INT(N224)+下拉列表!$H$5,N224)&gt;$B$1),AND(ISNUMBER(N224),INT(IF(MOD(N224,1)=0,INT(N224)+下拉列表!$H$5,N224))=INT($B$1)+1),AND(COUNTIF(Q224,"*领导DDL*")&gt;0,ISNUMBER(N224),INT(IF(MOD(N224,1)=0,INT(N224)+下拉列表!$H$5,N224))&lt;=INT($B$1)+2)),"2 今日处理",IF(AND(F224="等待他人",ISNUMBER(M224),IF(MOD(M224,1)=0,INT(M224)+下拉列表!$H$2,M224)&gt;$B$1),"4 暂不关注","3 近期关注")))))</f>
        <v/>
      </c>
      <c r="C224" s="26"/>
      <c r="D224" s="26"/>
      <c r="E224" s="26"/>
      <c r="F224" s="26"/>
      <c r="G224" s="26"/>
      <c r="H224" s="26"/>
      <c r="I224" s="26"/>
      <c r="J224" s="26"/>
      <c r="K224" s="32"/>
      <c r="L224" s="32"/>
      <c r="M224" s="33"/>
      <c r="N224" s="33"/>
      <c r="O224" s="34" t="str">
        <f ca="1">IF(E224="","",IF(L224="","",MAX(0,INT($B$1)-INT(L224))))</f>
        <v/>
      </c>
      <c r="P224" s="26"/>
      <c r="Q224" s="26"/>
      <c r="R224" s="26"/>
    </row>
    <row r="225" spans="1:18">
      <c r="A225" s="26"/>
      <c r="B225" s="26" t="str">
        <f ca="1">IF(E225="","",IF(OR(F225="已完成",F225="已取消",F225="已移交"),"4 暂不关注",IF(OR(R225="强制立即",A225="▶",AND(ISNUMBER(N225),IF(MOD(N225,1)=0,INT(N225)+下拉列表!$H$5,N225)&lt;=$B$1),AND(F225&lt;&gt;"等待他人",OR(COUNTIF(Q225,"*止损*")&gt;0,COUNTIF(Q225,"*阻塞*")&gt;0))),"1 立即处理",IF(OR(R225="强制今日",AND(F225="等待他人",M225=""),AND(ISNUMBER(M225),IF(MOD(M225,1)=0,INT(M225)+下拉列表!$H$2,M225)&lt;=$B$1),AND(ISNUMBER(N225),INT(IF(MOD(N225,1)=0,INT(N225)+下拉列表!$H$5,N225))=INT($B$1),IF(MOD(N225,1)=0,INT(N225)+下拉列表!$H$5,N225)&gt;$B$1),AND(ISNUMBER(N225),INT(IF(MOD(N225,1)=0,INT(N225)+下拉列表!$H$5,N225))=INT($B$1)+1),AND(COUNTIF(Q225,"*领导DDL*")&gt;0,ISNUMBER(N225),INT(IF(MOD(N225,1)=0,INT(N225)+下拉列表!$H$5,N225))&lt;=INT($B$1)+2)),"2 今日处理",IF(AND(F225="等待他人",ISNUMBER(M225),IF(MOD(M225,1)=0,INT(M225)+下拉列表!$H$2,M225)&gt;$B$1),"4 暂不关注","3 近期关注")))))</f>
        <v/>
      </c>
      <c r="C225" s="26"/>
      <c r="D225" s="26"/>
      <c r="E225" s="26"/>
      <c r="F225" s="26"/>
      <c r="G225" s="26"/>
      <c r="H225" s="26"/>
      <c r="I225" s="26"/>
      <c r="J225" s="26"/>
      <c r="K225" s="32"/>
      <c r="L225" s="32"/>
      <c r="M225" s="33"/>
      <c r="N225" s="33"/>
      <c r="O225" s="34" t="str">
        <f ca="1">IF(E225="","",IF(L225="","",MAX(0,INT($B$1)-INT(L225))))</f>
        <v/>
      </c>
      <c r="P225" s="26"/>
      <c r="Q225" s="26"/>
      <c r="R225" s="26"/>
    </row>
    <row r="226" spans="1:18">
      <c r="A226" s="26"/>
      <c r="B226" s="26" t="str">
        <f ca="1">IF(E226="","",IF(OR(F226="已完成",F226="已取消",F226="已移交"),"4 暂不关注",IF(OR(R226="强制立即",A226="▶",AND(ISNUMBER(N226),IF(MOD(N226,1)=0,INT(N226)+下拉列表!$H$5,N226)&lt;=$B$1),AND(F226&lt;&gt;"等待他人",OR(COUNTIF(Q226,"*止损*")&gt;0,COUNTIF(Q226,"*阻塞*")&gt;0))),"1 立即处理",IF(OR(R226="强制今日",AND(F226="等待他人",M226=""),AND(ISNUMBER(M226),IF(MOD(M226,1)=0,INT(M226)+下拉列表!$H$2,M226)&lt;=$B$1),AND(ISNUMBER(N226),INT(IF(MOD(N226,1)=0,INT(N226)+下拉列表!$H$5,N226))=INT($B$1),IF(MOD(N226,1)=0,INT(N226)+下拉列表!$H$5,N226)&gt;$B$1),AND(ISNUMBER(N226),INT(IF(MOD(N226,1)=0,INT(N226)+下拉列表!$H$5,N226))=INT($B$1)+1),AND(COUNTIF(Q226,"*领导DDL*")&gt;0,ISNUMBER(N226),INT(IF(MOD(N226,1)=0,INT(N226)+下拉列表!$H$5,N226))&lt;=INT($B$1)+2)),"2 今日处理",IF(AND(F226="等待他人",ISNUMBER(M226),IF(MOD(M226,1)=0,INT(M226)+下拉列表!$H$2,M226)&gt;$B$1),"4 暂不关注","3 近期关注")))))</f>
        <v/>
      </c>
      <c r="C226" s="26"/>
      <c r="D226" s="26"/>
      <c r="E226" s="26"/>
      <c r="F226" s="26"/>
      <c r="G226" s="26"/>
      <c r="H226" s="26"/>
      <c r="I226" s="26"/>
      <c r="J226" s="26"/>
      <c r="K226" s="32"/>
      <c r="L226" s="32"/>
      <c r="M226" s="33"/>
      <c r="N226" s="33"/>
      <c r="O226" s="34" t="str">
        <f ca="1">IF(E226="","",IF(L226="","",MAX(0,INT($B$1)-INT(L226))))</f>
        <v/>
      </c>
      <c r="P226" s="26"/>
      <c r="Q226" s="26"/>
      <c r="R226" s="26"/>
    </row>
    <row r="227" spans="1:18">
      <c r="A227" s="26"/>
      <c r="B227" s="26" t="str">
        <f ca="1">IF(E227="","",IF(OR(F227="已完成",F227="已取消",F227="已移交"),"4 暂不关注",IF(OR(R227="强制立即",A227="▶",AND(ISNUMBER(N227),IF(MOD(N227,1)=0,INT(N227)+下拉列表!$H$5,N227)&lt;=$B$1),AND(F227&lt;&gt;"等待他人",OR(COUNTIF(Q227,"*止损*")&gt;0,COUNTIF(Q227,"*阻塞*")&gt;0))),"1 立即处理",IF(OR(R227="强制今日",AND(F227="等待他人",M227=""),AND(ISNUMBER(M227),IF(MOD(M227,1)=0,INT(M227)+下拉列表!$H$2,M227)&lt;=$B$1),AND(ISNUMBER(N227),INT(IF(MOD(N227,1)=0,INT(N227)+下拉列表!$H$5,N227))=INT($B$1),IF(MOD(N227,1)=0,INT(N227)+下拉列表!$H$5,N227)&gt;$B$1),AND(ISNUMBER(N227),INT(IF(MOD(N227,1)=0,INT(N227)+下拉列表!$H$5,N227))=INT($B$1)+1),AND(COUNTIF(Q227,"*领导DDL*")&gt;0,ISNUMBER(N227),INT(IF(MOD(N227,1)=0,INT(N227)+下拉列表!$H$5,N227))&lt;=INT($B$1)+2)),"2 今日处理",IF(AND(F227="等待他人",ISNUMBER(M227),IF(MOD(M227,1)=0,INT(M227)+下拉列表!$H$2,M227)&gt;$B$1),"4 暂不关注","3 近期关注")))))</f>
        <v/>
      </c>
      <c r="C227" s="26"/>
      <c r="D227" s="26"/>
      <c r="E227" s="26"/>
      <c r="F227" s="26"/>
      <c r="G227" s="26"/>
      <c r="H227" s="26"/>
      <c r="I227" s="26"/>
      <c r="J227" s="26"/>
      <c r="K227" s="32"/>
      <c r="L227" s="32"/>
      <c r="M227" s="33"/>
      <c r="N227" s="33"/>
      <c r="O227" s="34" t="str">
        <f ca="1">IF(E227="","",IF(L227="","",MAX(0,INT($B$1)-INT(L227))))</f>
        <v/>
      </c>
      <c r="P227" s="26"/>
      <c r="Q227" s="26"/>
      <c r="R227" s="26"/>
    </row>
    <row r="228" spans="1:18">
      <c r="A228" s="26"/>
      <c r="B228" s="26" t="str">
        <f ca="1">IF(E228="","",IF(OR(F228="已完成",F228="已取消",F228="已移交"),"4 暂不关注",IF(OR(R228="强制立即",A228="▶",AND(ISNUMBER(N228),IF(MOD(N228,1)=0,INT(N228)+下拉列表!$H$5,N228)&lt;=$B$1),AND(F228&lt;&gt;"等待他人",OR(COUNTIF(Q228,"*止损*")&gt;0,COUNTIF(Q228,"*阻塞*")&gt;0))),"1 立即处理",IF(OR(R228="强制今日",AND(F228="等待他人",M228=""),AND(ISNUMBER(M228),IF(MOD(M228,1)=0,INT(M228)+下拉列表!$H$2,M228)&lt;=$B$1),AND(ISNUMBER(N228),INT(IF(MOD(N228,1)=0,INT(N228)+下拉列表!$H$5,N228))=INT($B$1),IF(MOD(N228,1)=0,INT(N228)+下拉列表!$H$5,N228)&gt;$B$1),AND(ISNUMBER(N228),INT(IF(MOD(N228,1)=0,INT(N228)+下拉列表!$H$5,N228))=INT($B$1)+1),AND(COUNTIF(Q228,"*领导DDL*")&gt;0,ISNUMBER(N228),INT(IF(MOD(N228,1)=0,INT(N228)+下拉列表!$H$5,N228))&lt;=INT($B$1)+2)),"2 今日处理",IF(AND(F228="等待他人",ISNUMBER(M228),IF(MOD(M228,1)=0,INT(M228)+下拉列表!$H$2,M228)&gt;$B$1),"4 暂不关注","3 近期关注")))))</f>
        <v/>
      </c>
      <c r="C228" s="26"/>
      <c r="D228" s="26"/>
      <c r="E228" s="26"/>
      <c r="F228" s="26"/>
      <c r="G228" s="26"/>
      <c r="H228" s="26"/>
      <c r="I228" s="26"/>
      <c r="J228" s="26"/>
      <c r="K228" s="32"/>
      <c r="L228" s="32"/>
      <c r="M228" s="33"/>
      <c r="N228" s="33"/>
      <c r="O228" s="34" t="str">
        <f ca="1">IF(E228="","",IF(L228="","",MAX(0,INT($B$1)-INT(L228))))</f>
        <v/>
      </c>
      <c r="P228" s="26"/>
      <c r="Q228" s="26"/>
      <c r="R228" s="26"/>
    </row>
    <row r="229" spans="1:18">
      <c r="A229" s="26"/>
      <c r="B229" s="26" t="str">
        <f ca="1">IF(E229="","",IF(OR(F229="已完成",F229="已取消",F229="已移交"),"4 暂不关注",IF(OR(R229="强制立即",A229="▶",AND(ISNUMBER(N229),IF(MOD(N229,1)=0,INT(N229)+下拉列表!$H$5,N229)&lt;=$B$1),AND(F229&lt;&gt;"等待他人",OR(COUNTIF(Q229,"*止损*")&gt;0,COUNTIF(Q229,"*阻塞*")&gt;0))),"1 立即处理",IF(OR(R229="强制今日",AND(F229="等待他人",M229=""),AND(ISNUMBER(M229),IF(MOD(M229,1)=0,INT(M229)+下拉列表!$H$2,M229)&lt;=$B$1),AND(ISNUMBER(N229),INT(IF(MOD(N229,1)=0,INT(N229)+下拉列表!$H$5,N229))=INT($B$1),IF(MOD(N229,1)=0,INT(N229)+下拉列表!$H$5,N229)&gt;$B$1),AND(ISNUMBER(N229),INT(IF(MOD(N229,1)=0,INT(N229)+下拉列表!$H$5,N229))=INT($B$1)+1),AND(COUNTIF(Q229,"*领导DDL*")&gt;0,ISNUMBER(N229),INT(IF(MOD(N229,1)=0,INT(N229)+下拉列表!$H$5,N229))&lt;=INT($B$1)+2)),"2 今日处理",IF(AND(F229="等待他人",ISNUMBER(M229),IF(MOD(M229,1)=0,INT(M229)+下拉列表!$H$2,M229)&gt;$B$1),"4 暂不关注","3 近期关注")))))</f>
        <v/>
      </c>
      <c r="C229" s="26"/>
      <c r="D229" s="26"/>
      <c r="E229" s="26"/>
      <c r="F229" s="26"/>
      <c r="G229" s="26"/>
      <c r="H229" s="26"/>
      <c r="I229" s="26"/>
      <c r="J229" s="26"/>
      <c r="K229" s="32"/>
      <c r="L229" s="32"/>
      <c r="M229" s="33"/>
      <c r="N229" s="33"/>
      <c r="O229" s="34" t="str">
        <f ca="1">IF(E229="","",IF(L229="","",MAX(0,INT($B$1)-INT(L229))))</f>
        <v/>
      </c>
      <c r="P229" s="26"/>
      <c r="Q229" s="26"/>
      <c r="R229" s="26"/>
    </row>
    <row r="230" spans="1:18">
      <c r="A230" s="26"/>
      <c r="B230" s="26" t="str">
        <f ca="1">IF(E230="","",IF(OR(F230="已完成",F230="已取消",F230="已移交"),"4 暂不关注",IF(OR(R230="强制立即",A230="▶",AND(ISNUMBER(N230),IF(MOD(N230,1)=0,INT(N230)+下拉列表!$H$5,N230)&lt;=$B$1),AND(F230&lt;&gt;"等待他人",OR(COUNTIF(Q230,"*止损*")&gt;0,COUNTIF(Q230,"*阻塞*")&gt;0))),"1 立即处理",IF(OR(R230="强制今日",AND(F230="等待他人",M230=""),AND(ISNUMBER(M230),IF(MOD(M230,1)=0,INT(M230)+下拉列表!$H$2,M230)&lt;=$B$1),AND(ISNUMBER(N230),INT(IF(MOD(N230,1)=0,INT(N230)+下拉列表!$H$5,N230))=INT($B$1),IF(MOD(N230,1)=0,INT(N230)+下拉列表!$H$5,N230)&gt;$B$1),AND(ISNUMBER(N230),INT(IF(MOD(N230,1)=0,INT(N230)+下拉列表!$H$5,N230))=INT($B$1)+1),AND(COUNTIF(Q230,"*领导DDL*")&gt;0,ISNUMBER(N230),INT(IF(MOD(N230,1)=0,INT(N230)+下拉列表!$H$5,N230))&lt;=INT($B$1)+2)),"2 今日处理",IF(AND(F230="等待他人",ISNUMBER(M230),IF(MOD(M230,1)=0,INT(M230)+下拉列表!$H$2,M230)&gt;$B$1),"4 暂不关注","3 近期关注")))))</f>
        <v/>
      </c>
      <c r="C230" s="26"/>
      <c r="D230" s="26"/>
      <c r="E230" s="26"/>
      <c r="F230" s="26"/>
      <c r="G230" s="26"/>
      <c r="H230" s="26"/>
      <c r="I230" s="26"/>
      <c r="J230" s="26"/>
      <c r="K230" s="32"/>
      <c r="L230" s="32"/>
      <c r="M230" s="33"/>
      <c r="N230" s="33"/>
      <c r="O230" s="34" t="str">
        <f ca="1">IF(E230="","",IF(L230="","",MAX(0,INT($B$1)-INT(L230))))</f>
        <v/>
      </c>
      <c r="P230" s="26"/>
      <c r="Q230" s="26"/>
      <c r="R230" s="26"/>
    </row>
    <row r="231" spans="1:18">
      <c r="A231" s="26"/>
      <c r="B231" s="26" t="str">
        <f ca="1">IF(E231="","",IF(OR(F231="已完成",F231="已取消",F231="已移交"),"4 暂不关注",IF(OR(R231="强制立即",A231="▶",AND(ISNUMBER(N231),IF(MOD(N231,1)=0,INT(N231)+下拉列表!$H$5,N231)&lt;=$B$1),AND(F231&lt;&gt;"等待他人",OR(COUNTIF(Q231,"*止损*")&gt;0,COUNTIF(Q231,"*阻塞*")&gt;0))),"1 立即处理",IF(OR(R231="强制今日",AND(F231="等待他人",M231=""),AND(ISNUMBER(M231),IF(MOD(M231,1)=0,INT(M231)+下拉列表!$H$2,M231)&lt;=$B$1),AND(ISNUMBER(N231),INT(IF(MOD(N231,1)=0,INT(N231)+下拉列表!$H$5,N231))=INT($B$1),IF(MOD(N231,1)=0,INT(N231)+下拉列表!$H$5,N231)&gt;$B$1),AND(ISNUMBER(N231),INT(IF(MOD(N231,1)=0,INT(N231)+下拉列表!$H$5,N231))=INT($B$1)+1),AND(COUNTIF(Q231,"*领导DDL*")&gt;0,ISNUMBER(N231),INT(IF(MOD(N231,1)=0,INT(N231)+下拉列表!$H$5,N231))&lt;=INT($B$1)+2)),"2 今日处理",IF(AND(F231="等待他人",ISNUMBER(M231),IF(MOD(M231,1)=0,INT(M231)+下拉列表!$H$2,M231)&gt;$B$1),"4 暂不关注","3 近期关注")))))</f>
        <v/>
      </c>
      <c r="C231" s="26"/>
      <c r="D231" s="26"/>
      <c r="E231" s="26"/>
      <c r="F231" s="26"/>
      <c r="G231" s="26"/>
      <c r="H231" s="26"/>
      <c r="I231" s="26"/>
      <c r="J231" s="26"/>
      <c r="K231" s="32"/>
      <c r="L231" s="32"/>
      <c r="M231" s="33"/>
      <c r="N231" s="33"/>
      <c r="O231" s="34" t="str">
        <f ca="1">IF(E231="","",IF(L231="","",MAX(0,INT($B$1)-INT(L231))))</f>
        <v/>
      </c>
      <c r="P231" s="26"/>
      <c r="Q231" s="26"/>
      <c r="R231" s="26"/>
    </row>
    <row r="232" spans="1:18">
      <c r="A232" s="26"/>
      <c r="B232" s="26" t="str">
        <f ca="1">IF(E232="","",IF(OR(F232="已完成",F232="已取消",F232="已移交"),"4 暂不关注",IF(OR(R232="强制立即",A232="▶",AND(ISNUMBER(N232),IF(MOD(N232,1)=0,INT(N232)+下拉列表!$H$5,N232)&lt;=$B$1),AND(F232&lt;&gt;"等待他人",OR(COUNTIF(Q232,"*止损*")&gt;0,COUNTIF(Q232,"*阻塞*")&gt;0))),"1 立即处理",IF(OR(R232="强制今日",AND(F232="等待他人",M232=""),AND(ISNUMBER(M232),IF(MOD(M232,1)=0,INT(M232)+下拉列表!$H$2,M232)&lt;=$B$1),AND(ISNUMBER(N232),INT(IF(MOD(N232,1)=0,INT(N232)+下拉列表!$H$5,N232))=INT($B$1),IF(MOD(N232,1)=0,INT(N232)+下拉列表!$H$5,N232)&gt;$B$1),AND(ISNUMBER(N232),INT(IF(MOD(N232,1)=0,INT(N232)+下拉列表!$H$5,N232))=INT($B$1)+1),AND(COUNTIF(Q232,"*领导DDL*")&gt;0,ISNUMBER(N232),INT(IF(MOD(N232,1)=0,INT(N232)+下拉列表!$H$5,N232))&lt;=INT($B$1)+2)),"2 今日处理",IF(AND(F232="等待他人",ISNUMBER(M232),IF(MOD(M232,1)=0,INT(M232)+下拉列表!$H$2,M232)&gt;$B$1),"4 暂不关注","3 近期关注")))))</f>
        <v/>
      </c>
      <c r="C232" s="26"/>
      <c r="D232" s="26"/>
      <c r="E232" s="26"/>
      <c r="F232" s="26"/>
      <c r="G232" s="26"/>
      <c r="H232" s="26"/>
      <c r="I232" s="26"/>
      <c r="J232" s="26"/>
      <c r="K232" s="32"/>
      <c r="L232" s="32"/>
      <c r="M232" s="33"/>
      <c r="N232" s="33"/>
      <c r="O232" s="34" t="str">
        <f ca="1">IF(E232="","",IF(L232="","",MAX(0,INT($B$1)-INT(L232))))</f>
        <v/>
      </c>
      <c r="P232" s="26"/>
      <c r="Q232" s="26"/>
      <c r="R232" s="26"/>
    </row>
    <row r="233" spans="1:18">
      <c r="A233" s="26"/>
      <c r="B233" s="26" t="str">
        <f ca="1">IF(E233="","",IF(OR(F233="已完成",F233="已取消",F233="已移交"),"4 暂不关注",IF(OR(R233="强制立即",A233="▶",AND(ISNUMBER(N233),IF(MOD(N233,1)=0,INT(N233)+下拉列表!$H$5,N233)&lt;=$B$1),AND(F233&lt;&gt;"等待他人",OR(COUNTIF(Q233,"*止损*")&gt;0,COUNTIF(Q233,"*阻塞*")&gt;0))),"1 立即处理",IF(OR(R233="强制今日",AND(F233="等待他人",M233=""),AND(ISNUMBER(M233),IF(MOD(M233,1)=0,INT(M233)+下拉列表!$H$2,M233)&lt;=$B$1),AND(ISNUMBER(N233),INT(IF(MOD(N233,1)=0,INT(N233)+下拉列表!$H$5,N233))=INT($B$1),IF(MOD(N233,1)=0,INT(N233)+下拉列表!$H$5,N233)&gt;$B$1),AND(ISNUMBER(N233),INT(IF(MOD(N233,1)=0,INT(N233)+下拉列表!$H$5,N233))=INT($B$1)+1),AND(COUNTIF(Q233,"*领导DDL*")&gt;0,ISNUMBER(N233),INT(IF(MOD(N233,1)=0,INT(N233)+下拉列表!$H$5,N233))&lt;=INT($B$1)+2)),"2 今日处理",IF(AND(F233="等待他人",ISNUMBER(M233),IF(MOD(M233,1)=0,INT(M233)+下拉列表!$H$2,M233)&gt;$B$1),"4 暂不关注","3 近期关注")))))</f>
        <v/>
      </c>
      <c r="C233" s="26"/>
      <c r="D233" s="26"/>
      <c r="E233" s="26"/>
      <c r="F233" s="26"/>
      <c r="G233" s="26"/>
      <c r="H233" s="26"/>
      <c r="I233" s="26"/>
      <c r="J233" s="26"/>
      <c r="K233" s="32"/>
      <c r="L233" s="32"/>
      <c r="M233" s="33"/>
      <c r="N233" s="33"/>
      <c r="O233" s="34" t="str">
        <f ca="1">IF(E233="","",IF(L233="","",MAX(0,INT($B$1)-INT(L233))))</f>
        <v/>
      </c>
      <c r="P233" s="26"/>
      <c r="Q233" s="26"/>
      <c r="R233" s="26"/>
    </row>
    <row r="234" spans="1:18">
      <c r="A234" s="26"/>
      <c r="B234" s="26" t="str">
        <f ca="1">IF(E234="","",IF(OR(F234="已完成",F234="已取消",F234="已移交"),"4 暂不关注",IF(OR(R234="强制立即",A234="▶",AND(ISNUMBER(N234),IF(MOD(N234,1)=0,INT(N234)+下拉列表!$H$5,N234)&lt;=$B$1),AND(F234&lt;&gt;"等待他人",OR(COUNTIF(Q234,"*止损*")&gt;0,COUNTIF(Q234,"*阻塞*")&gt;0))),"1 立即处理",IF(OR(R234="强制今日",AND(F234="等待他人",M234=""),AND(ISNUMBER(M234),IF(MOD(M234,1)=0,INT(M234)+下拉列表!$H$2,M234)&lt;=$B$1),AND(ISNUMBER(N234),INT(IF(MOD(N234,1)=0,INT(N234)+下拉列表!$H$5,N234))=INT($B$1),IF(MOD(N234,1)=0,INT(N234)+下拉列表!$H$5,N234)&gt;$B$1),AND(ISNUMBER(N234),INT(IF(MOD(N234,1)=0,INT(N234)+下拉列表!$H$5,N234))=INT($B$1)+1),AND(COUNTIF(Q234,"*领导DDL*")&gt;0,ISNUMBER(N234),INT(IF(MOD(N234,1)=0,INT(N234)+下拉列表!$H$5,N234))&lt;=INT($B$1)+2)),"2 今日处理",IF(AND(F234="等待他人",ISNUMBER(M234),IF(MOD(M234,1)=0,INT(M234)+下拉列表!$H$2,M234)&gt;$B$1),"4 暂不关注","3 近期关注")))))</f>
        <v/>
      </c>
      <c r="C234" s="26"/>
      <c r="D234" s="26"/>
      <c r="E234" s="26"/>
      <c r="F234" s="26"/>
      <c r="G234" s="26"/>
      <c r="H234" s="26"/>
      <c r="I234" s="26"/>
      <c r="J234" s="26"/>
      <c r="K234" s="32"/>
      <c r="L234" s="32"/>
      <c r="M234" s="33"/>
      <c r="N234" s="33"/>
      <c r="O234" s="34" t="str">
        <f ca="1">IF(E234="","",IF(L234="","",MAX(0,INT($B$1)-INT(L234))))</f>
        <v/>
      </c>
      <c r="P234" s="26"/>
      <c r="Q234" s="26"/>
      <c r="R234" s="26"/>
    </row>
    <row r="235" spans="1:18">
      <c r="A235" s="26"/>
      <c r="B235" s="26" t="str">
        <f ca="1">IF(E235="","",IF(OR(F235="已完成",F235="已取消",F235="已移交"),"4 暂不关注",IF(OR(R235="强制立即",A235="▶",AND(ISNUMBER(N235),IF(MOD(N235,1)=0,INT(N235)+下拉列表!$H$5,N235)&lt;=$B$1),AND(F235&lt;&gt;"等待他人",OR(COUNTIF(Q235,"*止损*")&gt;0,COUNTIF(Q235,"*阻塞*")&gt;0))),"1 立即处理",IF(OR(R235="强制今日",AND(F235="等待他人",M235=""),AND(ISNUMBER(M235),IF(MOD(M235,1)=0,INT(M235)+下拉列表!$H$2,M235)&lt;=$B$1),AND(ISNUMBER(N235),INT(IF(MOD(N235,1)=0,INT(N235)+下拉列表!$H$5,N235))=INT($B$1),IF(MOD(N235,1)=0,INT(N235)+下拉列表!$H$5,N235)&gt;$B$1),AND(ISNUMBER(N235),INT(IF(MOD(N235,1)=0,INT(N235)+下拉列表!$H$5,N235))=INT($B$1)+1),AND(COUNTIF(Q235,"*领导DDL*")&gt;0,ISNUMBER(N235),INT(IF(MOD(N235,1)=0,INT(N235)+下拉列表!$H$5,N235))&lt;=INT($B$1)+2)),"2 今日处理",IF(AND(F235="等待他人",ISNUMBER(M235),IF(MOD(M235,1)=0,INT(M235)+下拉列表!$H$2,M235)&gt;$B$1),"4 暂不关注","3 近期关注")))))</f>
        <v/>
      </c>
      <c r="C235" s="26"/>
      <c r="D235" s="26"/>
      <c r="E235" s="26"/>
      <c r="F235" s="26"/>
      <c r="G235" s="26"/>
      <c r="H235" s="26"/>
      <c r="I235" s="26"/>
      <c r="J235" s="26"/>
      <c r="K235" s="32"/>
      <c r="L235" s="32"/>
      <c r="M235" s="33"/>
      <c r="N235" s="33"/>
      <c r="O235" s="34" t="str">
        <f ca="1">IF(E235="","",IF(L235="","",MAX(0,INT($B$1)-INT(L235))))</f>
        <v/>
      </c>
      <c r="P235" s="26"/>
      <c r="Q235" s="26"/>
      <c r="R235" s="26"/>
    </row>
    <row r="236" spans="1:18">
      <c r="A236" s="26"/>
      <c r="B236" s="26" t="str">
        <f ca="1">IF(E236="","",IF(OR(F236="已完成",F236="已取消",F236="已移交"),"4 暂不关注",IF(OR(R236="强制立即",A236="▶",AND(ISNUMBER(N236),IF(MOD(N236,1)=0,INT(N236)+下拉列表!$H$5,N236)&lt;=$B$1),AND(F236&lt;&gt;"等待他人",OR(COUNTIF(Q236,"*止损*")&gt;0,COUNTIF(Q236,"*阻塞*")&gt;0))),"1 立即处理",IF(OR(R236="强制今日",AND(F236="等待他人",M236=""),AND(ISNUMBER(M236),IF(MOD(M236,1)=0,INT(M236)+下拉列表!$H$2,M236)&lt;=$B$1),AND(ISNUMBER(N236),INT(IF(MOD(N236,1)=0,INT(N236)+下拉列表!$H$5,N236))=INT($B$1),IF(MOD(N236,1)=0,INT(N236)+下拉列表!$H$5,N236)&gt;$B$1),AND(ISNUMBER(N236),INT(IF(MOD(N236,1)=0,INT(N236)+下拉列表!$H$5,N236))=INT($B$1)+1),AND(COUNTIF(Q236,"*领导DDL*")&gt;0,ISNUMBER(N236),INT(IF(MOD(N236,1)=0,INT(N236)+下拉列表!$H$5,N236))&lt;=INT($B$1)+2)),"2 今日处理",IF(AND(F236="等待他人",ISNUMBER(M236),IF(MOD(M236,1)=0,INT(M236)+下拉列表!$H$2,M236)&gt;$B$1),"4 暂不关注","3 近期关注")))))</f>
        <v/>
      </c>
      <c r="C236" s="26"/>
      <c r="D236" s="26"/>
      <c r="E236" s="26"/>
      <c r="F236" s="26"/>
      <c r="G236" s="26"/>
      <c r="H236" s="26"/>
      <c r="I236" s="26"/>
      <c r="J236" s="26"/>
      <c r="K236" s="32"/>
      <c r="L236" s="32"/>
      <c r="M236" s="33"/>
      <c r="N236" s="33"/>
      <c r="O236" s="34" t="str">
        <f ca="1">IF(E236="","",IF(L236="","",MAX(0,INT($B$1)-INT(L236))))</f>
        <v/>
      </c>
      <c r="P236" s="26"/>
      <c r="Q236" s="26"/>
      <c r="R236" s="26"/>
    </row>
    <row r="237" spans="1:18">
      <c r="A237" s="26"/>
      <c r="B237" s="26" t="str">
        <f ca="1">IF(E237="","",IF(OR(F237="已完成",F237="已取消",F237="已移交"),"4 暂不关注",IF(OR(R237="强制立即",A237="▶",AND(ISNUMBER(N237),IF(MOD(N237,1)=0,INT(N237)+下拉列表!$H$5,N237)&lt;=$B$1),AND(F237&lt;&gt;"等待他人",OR(COUNTIF(Q237,"*止损*")&gt;0,COUNTIF(Q237,"*阻塞*")&gt;0))),"1 立即处理",IF(OR(R237="强制今日",AND(F237="等待他人",M237=""),AND(ISNUMBER(M237),IF(MOD(M237,1)=0,INT(M237)+下拉列表!$H$2,M237)&lt;=$B$1),AND(ISNUMBER(N237),INT(IF(MOD(N237,1)=0,INT(N237)+下拉列表!$H$5,N237))=INT($B$1),IF(MOD(N237,1)=0,INT(N237)+下拉列表!$H$5,N237)&gt;$B$1),AND(ISNUMBER(N237),INT(IF(MOD(N237,1)=0,INT(N237)+下拉列表!$H$5,N237))=INT($B$1)+1),AND(COUNTIF(Q237,"*领导DDL*")&gt;0,ISNUMBER(N237),INT(IF(MOD(N237,1)=0,INT(N237)+下拉列表!$H$5,N237))&lt;=INT($B$1)+2)),"2 今日处理",IF(AND(F237="等待他人",ISNUMBER(M237),IF(MOD(M237,1)=0,INT(M237)+下拉列表!$H$2,M237)&gt;$B$1),"4 暂不关注","3 近期关注")))))</f>
        <v/>
      </c>
      <c r="C237" s="26"/>
      <c r="D237" s="26"/>
      <c r="E237" s="26"/>
      <c r="F237" s="26"/>
      <c r="G237" s="26"/>
      <c r="H237" s="26"/>
      <c r="I237" s="26"/>
      <c r="J237" s="26"/>
      <c r="K237" s="32"/>
      <c r="L237" s="32"/>
      <c r="M237" s="33"/>
      <c r="N237" s="33"/>
      <c r="O237" s="34" t="str">
        <f ca="1">IF(E237="","",IF(L237="","",MAX(0,INT($B$1)-INT(L237))))</f>
        <v/>
      </c>
      <c r="P237" s="26"/>
      <c r="Q237" s="26"/>
      <c r="R237" s="26"/>
    </row>
    <row r="238" spans="1:18">
      <c r="A238" s="26"/>
      <c r="B238" s="26" t="str">
        <f ca="1">IF(E238="","",IF(OR(F238="已完成",F238="已取消",F238="已移交"),"4 暂不关注",IF(OR(R238="强制立即",A238="▶",AND(ISNUMBER(N238),IF(MOD(N238,1)=0,INT(N238)+下拉列表!$H$5,N238)&lt;=$B$1),AND(F238&lt;&gt;"等待他人",OR(COUNTIF(Q238,"*止损*")&gt;0,COUNTIF(Q238,"*阻塞*")&gt;0))),"1 立即处理",IF(OR(R238="强制今日",AND(F238="等待他人",M238=""),AND(ISNUMBER(M238),IF(MOD(M238,1)=0,INT(M238)+下拉列表!$H$2,M238)&lt;=$B$1),AND(ISNUMBER(N238),INT(IF(MOD(N238,1)=0,INT(N238)+下拉列表!$H$5,N238))=INT($B$1),IF(MOD(N238,1)=0,INT(N238)+下拉列表!$H$5,N238)&gt;$B$1),AND(ISNUMBER(N238),INT(IF(MOD(N238,1)=0,INT(N238)+下拉列表!$H$5,N238))=INT($B$1)+1),AND(COUNTIF(Q238,"*领导DDL*")&gt;0,ISNUMBER(N238),INT(IF(MOD(N238,1)=0,INT(N238)+下拉列表!$H$5,N238))&lt;=INT($B$1)+2)),"2 今日处理",IF(AND(F238="等待他人",ISNUMBER(M238),IF(MOD(M238,1)=0,INT(M238)+下拉列表!$H$2,M238)&gt;$B$1),"4 暂不关注","3 近期关注")))))</f>
        <v/>
      </c>
      <c r="C238" s="26"/>
      <c r="D238" s="26"/>
      <c r="E238" s="26"/>
      <c r="F238" s="26"/>
      <c r="G238" s="26"/>
      <c r="H238" s="26"/>
      <c r="I238" s="26"/>
      <c r="J238" s="26"/>
      <c r="K238" s="32"/>
      <c r="L238" s="32"/>
      <c r="M238" s="33"/>
      <c r="N238" s="33"/>
      <c r="O238" s="34" t="str">
        <f ca="1">IF(E238="","",IF(L238="","",MAX(0,INT($B$1)-INT(L238))))</f>
        <v/>
      </c>
      <c r="P238" s="26"/>
      <c r="Q238" s="26"/>
      <c r="R238" s="26"/>
    </row>
    <row r="239" spans="1:18">
      <c r="A239" s="26"/>
      <c r="B239" s="26" t="str">
        <f ca="1">IF(E239="","",IF(OR(F239="已完成",F239="已取消",F239="已移交"),"4 暂不关注",IF(OR(R239="强制立即",A239="▶",AND(ISNUMBER(N239),IF(MOD(N239,1)=0,INT(N239)+下拉列表!$H$5,N239)&lt;=$B$1),AND(F239&lt;&gt;"等待他人",OR(COUNTIF(Q239,"*止损*")&gt;0,COUNTIF(Q239,"*阻塞*")&gt;0))),"1 立即处理",IF(OR(R239="强制今日",AND(F239="等待他人",M239=""),AND(ISNUMBER(M239),IF(MOD(M239,1)=0,INT(M239)+下拉列表!$H$2,M239)&lt;=$B$1),AND(ISNUMBER(N239),INT(IF(MOD(N239,1)=0,INT(N239)+下拉列表!$H$5,N239))=INT($B$1),IF(MOD(N239,1)=0,INT(N239)+下拉列表!$H$5,N239)&gt;$B$1),AND(ISNUMBER(N239),INT(IF(MOD(N239,1)=0,INT(N239)+下拉列表!$H$5,N239))=INT($B$1)+1),AND(COUNTIF(Q239,"*领导DDL*")&gt;0,ISNUMBER(N239),INT(IF(MOD(N239,1)=0,INT(N239)+下拉列表!$H$5,N239))&lt;=INT($B$1)+2)),"2 今日处理",IF(AND(F239="等待他人",ISNUMBER(M239),IF(MOD(M239,1)=0,INT(M239)+下拉列表!$H$2,M239)&gt;$B$1),"4 暂不关注","3 近期关注")))))</f>
        <v/>
      </c>
      <c r="C239" s="26"/>
      <c r="D239" s="26"/>
      <c r="E239" s="26"/>
      <c r="F239" s="26"/>
      <c r="G239" s="26"/>
      <c r="H239" s="26"/>
      <c r="I239" s="26"/>
      <c r="J239" s="26"/>
      <c r="K239" s="32"/>
      <c r="L239" s="32"/>
      <c r="M239" s="33"/>
      <c r="N239" s="33"/>
      <c r="O239" s="34" t="str">
        <f ca="1">IF(E239="","",IF(L239="","",MAX(0,INT($B$1)-INT(L239))))</f>
        <v/>
      </c>
      <c r="P239" s="26"/>
      <c r="Q239" s="26"/>
      <c r="R239" s="26"/>
    </row>
    <row r="240" spans="1:18">
      <c r="A240" s="26"/>
      <c r="B240" s="26" t="str">
        <f ca="1">IF(E240="","",IF(OR(F240="已完成",F240="已取消",F240="已移交"),"4 暂不关注",IF(OR(R240="强制立即",A240="▶",AND(ISNUMBER(N240),IF(MOD(N240,1)=0,INT(N240)+下拉列表!$H$5,N240)&lt;=$B$1),AND(F240&lt;&gt;"等待他人",OR(COUNTIF(Q240,"*止损*")&gt;0,COUNTIF(Q240,"*阻塞*")&gt;0))),"1 立即处理",IF(OR(R240="强制今日",AND(F240="等待他人",M240=""),AND(ISNUMBER(M240),IF(MOD(M240,1)=0,INT(M240)+下拉列表!$H$2,M240)&lt;=$B$1),AND(ISNUMBER(N240),INT(IF(MOD(N240,1)=0,INT(N240)+下拉列表!$H$5,N240))=INT($B$1),IF(MOD(N240,1)=0,INT(N240)+下拉列表!$H$5,N240)&gt;$B$1),AND(ISNUMBER(N240),INT(IF(MOD(N240,1)=0,INT(N240)+下拉列表!$H$5,N240))=INT($B$1)+1),AND(COUNTIF(Q240,"*领导DDL*")&gt;0,ISNUMBER(N240),INT(IF(MOD(N240,1)=0,INT(N240)+下拉列表!$H$5,N240))&lt;=INT($B$1)+2)),"2 今日处理",IF(AND(F240="等待他人",ISNUMBER(M240),IF(MOD(M240,1)=0,INT(M240)+下拉列表!$H$2,M240)&gt;$B$1),"4 暂不关注","3 近期关注")))))</f>
        <v/>
      </c>
      <c r="C240" s="26"/>
      <c r="D240" s="26"/>
      <c r="E240" s="26"/>
      <c r="F240" s="26"/>
      <c r="G240" s="26"/>
      <c r="H240" s="26"/>
      <c r="I240" s="26"/>
      <c r="J240" s="26"/>
      <c r="K240" s="32"/>
      <c r="L240" s="32"/>
      <c r="M240" s="33"/>
      <c r="N240" s="33"/>
      <c r="O240" s="34" t="str">
        <f ca="1">IF(E240="","",IF(L240="","",MAX(0,INT($B$1)-INT(L240))))</f>
        <v/>
      </c>
      <c r="P240" s="26"/>
      <c r="Q240" s="26"/>
      <c r="R240" s="26"/>
    </row>
    <row r="241" spans="1:18">
      <c r="A241" s="26"/>
      <c r="B241" s="26" t="str">
        <f ca="1">IF(E241="","",IF(OR(F241="已完成",F241="已取消",F241="已移交"),"4 暂不关注",IF(OR(R241="强制立即",A241="▶",AND(ISNUMBER(N241),IF(MOD(N241,1)=0,INT(N241)+下拉列表!$H$5,N241)&lt;=$B$1),AND(F241&lt;&gt;"等待他人",OR(COUNTIF(Q241,"*止损*")&gt;0,COUNTIF(Q241,"*阻塞*")&gt;0))),"1 立即处理",IF(OR(R241="强制今日",AND(F241="等待他人",M241=""),AND(ISNUMBER(M241),IF(MOD(M241,1)=0,INT(M241)+下拉列表!$H$2,M241)&lt;=$B$1),AND(ISNUMBER(N241),INT(IF(MOD(N241,1)=0,INT(N241)+下拉列表!$H$5,N241))=INT($B$1),IF(MOD(N241,1)=0,INT(N241)+下拉列表!$H$5,N241)&gt;$B$1),AND(ISNUMBER(N241),INT(IF(MOD(N241,1)=0,INT(N241)+下拉列表!$H$5,N241))=INT($B$1)+1),AND(COUNTIF(Q241,"*领导DDL*")&gt;0,ISNUMBER(N241),INT(IF(MOD(N241,1)=0,INT(N241)+下拉列表!$H$5,N241))&lt;=INT($B$1)+2)),"2 今日处理",IF(AND(F241="等待他人",ISNUMBER(M241),IF(MOD(M241,1)=0,INT(M241)+下拉列表!$H$2,M241)&gt;$B$1),"4 暂不关注","3 近期关注")))))</f>
        <v/>
      </c>
      <c r="C241" s="26"/>
      <c r="D241" s="26"/>
      <c r="E241" s="26"/>
      <c r="F241" s="26"/>
      <c r="G241" s="26"/>
      <c r="H241" s="26"/>
      <c r="I241" s="26"/>
      <c r="J241" s="26"/>
      <c r="K241" s="32"/>
      <c r="L241" s="32"/>
      <c r="M241" s="33"/>
      <c r="N241" s="33"/>
      <c r="O241" s="34" t="str">
        <f ca="1">IF(E241="","",IF(L241="","",MAX(0,INT($B$1)-INT(L241))))</f>
        <v/>
      </c>
      <c r="P241" s="26"/>
      <c r="Q241" s="26"/>
      <c r="R241" s="26"/>
    </row>
    <row r="242" spans="1:18">
      <c r="A242" s="26"/>
      <c r="B242" s="26" t="str">
        <f ca="1">IF(E242="","",IF(OR(F242="已完成",F242="已取消",F242="已移交"),"4 暂不关注",IF(OR(R242="强制立即",A242="▶",AND(ISNUMBER(N242),IF(MOD(N242,1)=0,INT(N242)+下拉列表!$H$5,N242)&lt;=$B$1),AND(F242&lt;&gt;"等待他人",OR(COUNTIF(Q242,"*止损*")&gt;0,COUNTIF(Q242,"*阻塞*")&gt;0))),"1 立即处理",IF(OR(R242="强制今日",AND(F242="等待他人",M242=""),AND(ISNUMBER(M242),IF(MOD(M242,1)=0,INT(M242)+下拉列表!$H$2,M242)&lt;=$B$1),AND(ISNUMBER(N242),INT(IF(MOD(N242,1)=0,INT(N242)+下拉列表!$H$5,N242))=INT($B$1),IF(MOD(N242,1)=0,INT(N242)+下拉列表!$H$5,N242)&gt;$B$1),AND(ISNUMBER(N242),INT(IF(MOD(N242,1)=0,INT(N242)+下拉列表!$H$5,N242))=INT($B$1)+1),AND(COUNTIF(Q242,"*领导DDL*")&gt;0,ISNUMBER(N242),INT(IF(MOD(N242,1)=0,INT(N242)+下拉列表!$H$5,N242))&lt;=INT($B$1)+2)),"2 今日处理",IF(AND(F242="等待他人",ISNUMBER(M242),IF(MOD(M242,1)=0,INT(M242)+下拉列表!$H$2,M242)&gt;$B$1),"4 暂不关注","3 近期关注")))))</f>
        <v/>
      </c>
      <c r="C242" s="26"/>
      <c r="D242" s="26"/>
      <c r="E242" s="26"/>
      <c r="F242" s="26"/>
      <c r="G242" s="26"/>
      <c r="H242" s="26"/>
      <c r="I242" s="26"/>
      <c r="J242" s="26"/>
      <c r="K242" s="32"/>
      <c r="L242" s="32"/>
      <c r="M242" s="33"/>
      <c r="N242" s="33"/>
      <c r="O242" s="34" t="str">
        <f ca="1">IF(E242="","",IF(L242="","",MAX(0,INT($B$1)-INT(L242))))</f>
        <v/>
      </c>
      <c r="P242" s="26"/>
      <c r="Q242" s="26"/>
      <c r="R242" s="26"/>
    </row>
    <row r="243" spans="1:18">
      <c r="A243" s="26"/>
      <c r="B243" s="26" t="str">
        <f ca="1">IF(E243="","",IF(OR(F243="已完成",F243="已取消",F243="已移交"),"4 暂不关注",IF(OR(R243="强制立即",A243="▶",AND(ISNUMBER(N243),IF(MOD(N243,1)=0,INT(N243)+下拉列表!$H$5,N243)&lt;=$B$1),AND(F243&lt;&gt;"等待他人",OR(COUNTIF(Q243,"*止损*")&gt;0,COUNTIF(Q243,"*阻塞*")&gt;0))),"1 立即处理",IF(OR(R243="强制今日",AND(F243="等待他人",M243=""),AND(ISNUMBER(M243),IF(MOD(M243,1)=0,INT(M243)+下拉列表!$H$2,M243)&lt;=$B$1),AND(ISNUMBER(N243),INT(IF(MOD(N243,1)=0,INT(N243)+下拉列表!$H$5,N243))=INT($B$1),IF(MOD(N243,1)=0,INT(N243)+下拉列表!$H$5,N243)&gt;$B$1),AND(ISNUMBER(N243),INT(IF(MOD(N243,1)=0,INT(N243)+下拉列表!$H$5,N243))=INT($B$1)+1),AND(COUNTIF(Q243,"*领导DDL*")&gt;0,ISNUMBER(N243),INT(IF(MOD(N243,1)=0,INT(N243)+下拉列表!$H$5,N243))&lt;=INT($B$1)+2)),"2 今日处理",IF(AND(F243="等待他人",ISNUMBER(M243),IF(MOD(M243,1)=0,INT(M243)+下拉列表!$H$2,M243)&gt;$B$1),"4 暂不关注","3 近期关注")))))</f>
        <v/>
      </c>
      <c r="C243" s="26"/>
      <c r="D243" s="26"/>
      <c r="E243" s="26"/>
      <c r="F243" s="26"/>
      <c r="G243" s="26"/>
      <c r="H243" s="26"/>
      <c r="I243" s="26"/>
      <c r="J243" s="26"/>
      <c r="K243" s="32"/>
      <c r="L243" s="32"/>
      <c r="M243" s="33"/>
      <c r="N243" s="33"/>
      <c r="O243" s="34" t="str">
        <f ca="1">IF(E243="","",IF(L243="","",MAX(0,INT($B$1)-INT(L243))))</f>
        <v/>
      </c>
      <c r="P243" s="26"/>
      <c r="Q243" s="26"/>
      <c r="R243" s="26"/>
    </row>
    <row r="244" spans="1:18">
      <c r="A244" s="26"/>
      <c r="B244" s="26" t="str">
        <f ca="1">IF(E244="","",IF(OR(F244="已完成",F244="已取消",F244="已移交"),"4 暂不关注",IF(OR(R244="强制立即",A244="▶",AND(ISNUMBER(N244),IF(MOD(N244,1)=0,INT(N244)+下拉列表!$H$5,N244)&lt;=$B$1),AND(F244&lt;&gt;"等待他人",OR(COUNTIF(Q244,"*止损*")&gt;0,COUNTIF(Q244,"*阻塞*")&gt;0))),"1 立即处理",IF(OR(R244="强制今日",AND(F244="等待他人",M244=""),AND(ISNUMBER(M244),IF(MOD(M244,1)=0,INT(M244)+下拉列表!$H$2,M244)&lt;=$B$1),AND(ISNUMBER(N244),INT(IF(MOD(N244,1)=0,INT(N244)+下拉列表!$H$5,N244))=INT($B$1),IF(MOD(N244,1)=0,INT(N244)+下拉列表!$H$5,N244)&gt;$B$1),AND(ISNUMBER(N244),INT(IF(MOD(N244,1)=0,INT(N244)+下拉列表!$H$5,N244))=INT($B$1)+1),AND(COUNTIF(Q244,"*领导DDL*")&gt;0,ISNUMBER(N244),INT(IF(MOD(N244,1)=0,INT(N244)+下拉列表!$H$5,N244))&lt;=INT($B$1)+2)),"2 今日处理",IF(AND(F244="等待他人",ISNUMBER(M244),IF(MOD(M244,1)=0,INT(M244)+下拉列表!$H$2,M244)&gt;$B$1),"4 暂不关注","3 近期关注")))))</f>
        <v/>
      </c>
      <c r="C244" s="26"/>
      <c r="D244" s="26"/>
      <c r="E244" s="26"/>
      <c r="F244" s="26"/>
      <c r="G244" s="26"/>
      <c r="H244" s="26"/>
      <c r="I244" s="26"/>
      <c r="J244" s="26"/>
      <c r="K244" s="32"/>
      <c r="L244" s="32"/>
      <c r="M244" s="33"/>
      <c r="N244" s="33"/>
      <c r="O244" s="34" t="str">
        <f ca="1">IF(E244="","",IF(L244="","",MAX(0,INT($B$1)-INT(L244))))</f>
        <v/>
      </c>
      <c r="P244" s="26"/>
      <c r="Q244" s="26"/>
      <c r="R244" s="26"/>
    </row>
    <row r="245" spans="1:18">
      <c r="A245" s="26"/>
      <c r="B245" s="26" t="str">
        <f ca="1">IF(E245="","",IF(OR(F245="已完成",F245="已取消",F245="已移交"),"4 暂不关注",IF(OR(R245="强制立即",A245="▶",AND(ISNUMBER(N245),IF(MOD(N245,1)=0,INT(N245)+下拉列表!$H$5,N245)&lt;=$B$1),AND(F245&lt;&gt;"等待他人",OR(COUNTIF(Q245,"*止损*")&gt;0,COUNTIF(Q245,"*阻塞*")&gt;0))),"1 立即处理",IF(OR(R245="强制今日",AND(F245="等待他人",M245=""),AND(ISNUMBER(M245),IF(MOD(M245,1)=0,INT(M245)+下拉列表!$H$2,M245)&lt;=$B$1),AND(ISNUMBER(N245),INT(IF(MOD(N245,1)=0,INT(N245)+下拉列表!$H$5,N245))=INT($B$1),IF(MOD(N245,1)=0,INT(N245)+下拉列表!$H$5,N245)&gt;$B$1),AND(ISNUMBER(N245),INT(IF(MOD(N245,1)=0,INT(N245)+下拉列表!$H$5,N245))=INT($B$1)+1),AND(COUNTIF(Q245,"*领导DDL*")&gt;0,ISNUMBER(N245),INT(IF(MOD(N245,1)=0,INT(N245)+下拉列表!$H$5,N245))&lt;=INT($B$1)+2)),"2 今日处理",IF(AND(F245="等待他人",ISNUMBER(M245),IF(MOD(M245,1)=0,INT(M245)+下拉列表!$H$2,M245)&gt;$B$1),"4 暂不关注","3 近期关注")))))</f>
        <v/>
      </c>
      <c r="C245" s="26"/>
      <c r="D245" s="26"/>
      <c r="E245" s="26"/>
      <c r="F245" s="26"/>
      <c r="G245" s="26"/>
      <c r="H245" s="26"/>
      <c r="I245" s="26"/>
      <c r="J245" s="26"/>
      <c r="K245" s="32"/>
      <c r="L245" s="32"/>
      <c r="M245" s="33"/>
      <c r="N245" s="33"/>
      <c r="O245" s="34" t="str">
        <f ca="1">IF(E245="","",IF(L245="","",MAX(0,INT($B$1)-INT(L245))))</f>
        <v/>
      </c>
      <c r="P245" s="26"/>
      <c r="Q245" s="26"/>
      <c r="R245" s="26"/>
    </row>
    <row r="246" spans="1:18">
      <c r="A246" s="26"/>
      <c r="B246" s="26" t="str">
        <f ca="1">IF(E246="","",IF(OR(F246="已完成",F246="已取消",F246="已移交"),"4 暂不关注",IF(OR(R246="强制立即",A246="▶",AND(ISNUMBER(N246),IF(MOD(N246,1)=0,INT(N246)+下拉列表!$H$5,N246)&lt;=$B$1),AND(F246&lt;&gt;"等待他人",OR(COUNTIF(Q246,"*止损*")&gt;0,COUNTIF(Q246,"*阻塞*")&gt;0))),"1 立即处理",IF(OR(R246="强制今日",AND(F246="等待他人",M246=""),AND(ISNUMBER(M246),IF(MOD(M246,1)=0,INT(M246)+下拉列表!$H$2,M246)&lt;=$B$1),AND(ISNUMBER(N246),INT(IF(MOD(N246,1)=0,INT(N246)+下拉列表!$H$5,N246))=INT($B$1),IF(MOD(N246,1)=0,INT(N246)+下拉列表!$H$5,N246)&gt;$B$1),AND(ISNUMBER(N246),INT(IF(MOD(N246,1)=0,INT(N246)+下拉列表!$H$5,N246))=INT($B$1)+1),AND(COUNTIF(Q246,"*领导DDL*")&gt;0,ISNUMBER(N246),INT(IF(MOD(N246,1)=0,INT(N246)+下拉列表!$H$5,N246))&lt;=INT($B$1)+2)),"2 今日处理",IF(AND(F246="等待他人",ISNUMBER(M246),IF(MOD(M246,1)=0,INT(M246)+下拉列表!$H$2,M246)&gt;$B$1),"4 暂不关注","3 近期关注")))))</f>
        <v/>
      </c>
      <c r="C246" s="26"/>
      <c r="D246" s="26"/>
      <c r="E246" s="26"/>
      <c r="F246" s="26"/>
      <c r="G246" s="26"/>
      <c r="H246" s="26"/>
      <c r="I246" s="26"/>
      <c r="J246" s="26"/>
      <c r="K246" s="32"/>
      <c r="L246" s="32"/>
      <c r="M246" s="33"/>
      <c r="N246" s="33"/>
      <c r="O246" s="34" t="str">
        <f ca="1">IF(E246="","",IF(L246="","",MAX(0,INT($B$1)-INT(L246))))</f>
        <v/>
      </c>
      <c r="P246" s="26"/>
      <c r="Q246" s="26"/>
      <c r="R246" s="26"/>
    </row>
    <row r="247" spans="1:18">
      <c r="A247" s="26"/>
      <c r="B247" s="26" t="str">
        <f ca="1">IF(E247="","",IF(OR(F247="已完成",F247="已取消",F247="已移交"),"4 暂不关注",IF(OR(R247="强制立即",A247="▶",AND(ISNUMBER(N247),IF(MOD(N247,1)=0,INT(N247)+下拉列表!$H$5,N247)&lt;=$B$1),AND(F247&lt;&gt;"等待他人",OR(COUNTIF(Q247,"*止损*")&gt;0,COUNTIF(Q247,"*阻塞*")&gt;0))),"1 立即处理",IF(OR(R247="强制今日",AND(F247="等待他人",M247=""),AND(ISNUMBER(M247),IF(MOD(M247,1)=0,INT(M247)+下拉列表!$H$2,M247)&lt;=$B$1),AND(ISNUMBER(N247),INT(IF(MOD(N247,1)=0,INT(N247)+下拉列表!$H$5,N247))=INT($B$1),IF(MOD(N247,1)=0,INT(N247)+下拉列表!$H$5,N247)&gt;$B$1),AND(ISNUMBER(N247),INT(IF(MOD(N247,1)=0,INT(N247)+下拉列表!$H$5,N247))=INT($B$1)+1),AND(COUNTIF(Q247,"*领导DDL*")&gt;0,ISNUMBER(N247),INT(IF(MOD(N247,1)=0,INT(N247)+下拉列表!$H$5,N247))&lt;=INT($B$1)+2)),"2 今日处理",IF(AND(F247="等待他人",ISNUMBER(M247),IF(MOD(M247,1)=0,INT(M247)+下拉列表!$H$2,M247)&gt;$B$1),"4 暂不关注","3 近期关注")))))</f>
        <v/>
      </c>
      <c r="C247" s="26"/>
      <c r="D247" s="26"/>
      <c r="E247" s="26"/>
      <c r="F247" s="26"/>
      <c r="G247" s="26"/>
      <c r="H247" s="26"/>
      <c r="I247" s="26"/>
      <c r="J247" s="26"/>
      <c r="K247" s="32"/>
      <c r="L247" s="32"/>
      <c r="M247" s="33"/>
      <c r="N247" s="33"/>
      <c r="O247" s="34" t="str">
        <f ca="1">IF(E247="","",IF(L247="","",MAX(0,INT($B$1)-INT(L247))))</f>
        <v/>
      </c>
      <c r="P247" s="26"/>
      <c r="Q247" s="26"/>
      <c r="R247" s="26"/>
    </row>
    <row r="248" spans="1:18">
      <c r="A248" s="26"/>
      <c r="B248" s="26" t="str">
        <f ca="1">IF(E248="","",IF(OR(F248="已完成",F248="已取消",F248="已移交"),"4 暂不关注",IF(OR(R248="强制立即",A248="▶",AND(ISNUMBER(N248),IF(MOD(N248,1)=0,INT(N248)+下拉列表!$H$5,N248)&lt;=$B$1),AND(F248&lt;&gt;"等待他人",OR(COUNTIF(Q248,"*止损*")&gt;0,COUNTIF(Q248,"*阻塞*")&gt;0))),"1 立即处理",IF(OR(R248="强制今日",AND(F248="等待他人",M248=""),AND(ISNUMBER(M248),IF(MOD(M248,1)=0,INT(M248)+下拉列表!$H$2,M248)&lt;=$B$1),AND(ISNUMBER(N248),INT(IF(MOD(N248,1)=0,INT(N248)+下拉列表!$H$5,N248))=INT($B$1),IF(MOD(N248,1)=0,INT(N248)+下拉列表!$H$5,N248)&gt;$B$1),AND(ISNUMBER(N248),INT(IF(MOD(N248,1)=0,INT(N248)+下拉列表!$H$5,N248))=INT($B$1)+1),AND(COUNTIF(Q248,"*领导DDL*")&gt;0,ISNUMBER(N248),INT(IF(MOD(N248,1)=0,INT(N248)+下拉列表!$H$5,N248))&lt;=INT($B$1)+2)),"2 今日处理",IF(AND(F248="等待他人",ISNUMBER(M248),IF(MOD(M248,1)=0,INT(M248)+下拉列表!$H$2,M248)&gt;$B$1),"4 暂不关注","3 近期关注")))))</f>
        <v/>
      </c>
      <c r="C248" s="26"/>
      <c r="D248" s="26"/>
      <c r="E248" s="26"/>
      <c r="F248" s="26"/>
      <c r="G248" s="26"/>
      <c r="H248" s="26"/>
      <c r="I248" s="26"/>
      <c r="J248" s="26"/>
      <c r="K248" s="32"/>
      <c r="L248" s="32"/>
      <c r="M248" s="33"/>
      <c r="N248" s="33"/>
      <c r="O248" s="34" t="str">
        <f ca="1">IF(E248="","",IF(L248="","",MAX(0,INT($B$1)-INT(L248))))</f>
        <v/>
      </c>
      <c r="P248" s="26"/>
      <c r="Q248" s="26"/>
      <c r="R248" s="26"/>
    </row>
    <row r="249" spans="1:18">
      <c r="A249" s="26"/>
      <c r="B249" s="26" t="str">
        <f ca="1">IF(E249="","",IF(OR(F249="已完成",F249="已取消",F249="已移交"),"4 暂不关注",IF(OR(R249="强制立即",A249="▶",AND(ISNUMBER(N249),IF(MOD(N249,1)=0,INT(N249)+下拉列表!$H$5,N249)&lt;=$B$1),AND(F249&lt;&gt;"等待他人",OR(COUNTIF(Q249,"*止损*")&gt;0,COUNTIF(Q249,"*阻塞*")&gt;0))),"1 立即处理",IF(OR(R249="强制今日",AND(F249="等待他人",M249=""),AND(ISNUMBER(M249),IF(MOD(M249,1)=0,INT(M249)+下拉列表!$H$2,M249)&lt;=$B$1),AND(ISNUMBER(N249),INT(IF(MOD(N249,1)=0,INT(N249)+下拉列表!$H$5,N249))=INT($B$1),IF(MOD(N249,1)=0,INT(N249)+下拉列表!$H$5,N249)&gt;$B$1),AND(ISNUMBER(N249),INT(IF(MOD(N249,1)=0,INT(N249)+下拉列表!$H$5,N249))=INT($B$1)+1),AND(COUNTIF(Q249,"*领导DDL*")&gt;0,ISNUMBER(N249),INT(IF(MOD(N249,1)=0,INT(N249)+下拉列表!$H$5,N249))&lt;=INT($B$1)+2)),"2 今日处理",IF(AND(F249="等待他人",ISNUMBER(M249),IF(MOD(M249,1)=0,INT(M249)+下拉列表!$H$2,M249)&gt;$B$1),"4 暂不关注","3 近期关注")))))</f>
        <v/>
      </c>
      <c r="C249" s="26"/>
      <c r="D249" s="26"/>
      <c r="E249" s="26"/>
      <c r="F249" s="26"/>
      <c r="G249" s="26"/>
      <c r="H249" s="26"/>
      <c r="I249" s="26"/>
      <c r="J249" s="26"/>
      <c r="K249" s="32"/>
      <c r="L249" s="32"/>
      <c r="M249" s="33"/>
      <c r="N249" s="33"/>
      <c r="O249" s="34" t="str">
        <f ca="1">IF(E249="","",IF(L249="","",MAX(0,INT($B$1)-INT(L249))))</f>
        <v/>
      </c>
      <c r="P249" s="26"/>
      <c r="Q249" s="26"/>
      <c r="R249" s="26"/>
    </row>
    <row r="250" spans="1:18">
      <c r="A250" s="26"/>
      <c r="B250" s="26" t="str">
        <f ca="1">IF(E250="","",IF(OR(F250="已完成",F250="已取消",F250="已移交"),"4 暂不关注",IF(OR(R250="强制立即",A250="▶",AND(ISNUMBER(N250),IF(MOD(N250,1)=0,INT(N250)+下拉列表!$H$5,N250)&lt;=$B$1),AND(F250&lt;&gt;"等待他人",OR(COUNTIF(Q250,"*止损*")&gt;0,COUNTIF(Q250,"*阻塞*")&gt;0))),"1 立即处理",IF(OR(R250="强制今日",AND(F250="等待他人",M250=""),AND(ISNUMBER(M250),IF(MOD(M250,1)=0,INT(M250)+下拉列表!$H$2,M250)&lt;=$B$1),AND(ISNUMBER(N250),INT(IF(MOD(N250,1)=0,INT(N250)+下拉列表!$H$5,N250))=INT($B$1),IF(MOD(N250,1)=0,INT(N250)+下拉列表!$H$5,N250)&gt;$B$1),AND(ISNUMBER(N250),INT(IF(MOD(N250,1)=0,INT(N250)+下拉列表!$H$5,N250))=INT($B$1)+1),AND(COUNTIF(Q250,"*领导DDL*")&gt;0,ISNUMBER(N250),INT(IF(MOD(N250,1)=0,INT(N250)+下拉列表!$H$5,N250))&lt;=INT($B$1)+2)),"2 今日处理",IF(AND(F250="等待他人",ISNUMBER(M250),IF(MOD(M250,1)=0,INT(M250)+下拉列表!$H$2,M250)&gt;$B$1),"4 暂不关注","3 近期关注")))))</f>
        <v/>
      </c>
      <c r="C250" s="26"/>
      <c r="D250" s="26"/>
      <c r="E250" s="26"/>
      <c r="F250" s="26"/>
      <c r="G250" s="26"/>
      <c r="H250" s="26"/>
      <c r="I250" s="26"/>
      <c r="J250" s="26"/>
      <c r="K250" s="32"/>
      <c r="L250" s="32"/>
      <c r="M250" s="33"/>
      <c r="N250" s="33"/>
      <c r="O250" s="34" t="str">
        <f ca="1">IF(E250="","",IF(L250="","",MAX(0,INT($B$1)-INT(L250))))</f>
        <v/>
      </c>
      <c r="P250" s="26"/>
      <c r="Q250" s="26"/>
      <c r="R250" s="26"/>
    </row>
    <row r="251" spans="1:18">
      <c r="A251" s="26"/>
      <c r="B251" s="26" t="str">
        <f ca="1">IF(E251="","",IF(OR(F251="已完成",F251="已取消",F251="已移交"),"4 暂不关注",IF(OR(R251="强制立即",A251="▶",AND(ISNUMBER(N251),IF(MOD(N251,1)=0,INT(N251)+下拉列表!$H$5,N251)&lt;=$B$1),AND(F251&lt;&gt;"等待他人",OR(COUNTIF(Q251,"*止损*")&gt;0,COUNTIF(Q251,"*阻塞*")&gt;0))),"1 立即处理",IF(OR(R251="强制今日",AND(F251="等待他人",M251=""),AND(ISNUMBER(M251),IF(MOD(M251,1)=0,INT(M251)+下拉列表!$H$2,M251)&lt;=$B$1),AND(ISNUMBER(N251),INT(IF(MOD(N251,1)=0,INT(N251)+下拉列表!$H$5,N251))=INT($B$1),IF(MOD(N251,1)=0,INT(N251)+下拉列表!$H$5,N251)&gt;$B$1),AND(ISNUMBER(N251),INT(IF(MOD(N251,1)=0,INT(N251)+下拉列表!$H$5,N251))=INT($B$1)+1),AND(COUNTIF(Q251,"*领导DDL*")&gt;0,ISNUMBER(N251),INT(IF(MOD(N251,1)=0,INT(N251)+下拉列表!$H$5,N251))&lt;=INT($B$1)+2)),"2 今日处理",IF(AND(F251="等待他人",ISNUMBER(M251),IF(MOD(M251,1)=0,INT(M251)+下拉列表!$H$2,M251)&gt;$B$1),"4 暂不关注","3 近期关注")))))</f>
        <v/>
      </c>
      <c r="C251" s="26"/>
      <c r="D251" s="26"/>
      <c r="E251" s="26"/>
      <c r="F251" s="26"/>
      <c r="G251" s="26"/>
      <c r="H251" s="26"/>
      <c r="I251" s="26"/>
      <c r="J251" s="26"/>
      <c r="K251" s="32"/>
      <c r="L251" s="32"/>
      <c r="M251" s="33"/>
      <c r="N251" s="33"/>
      <c r="O251" s="34" t="str">
        <f ca="1">IF(E251="","",IF(L251="","",MAX(0,INT($B$1)-INT(L251))))</f>
        <v/>
      </c>
      <c r="P251" s="26"/>
      <c r="Q251" s="26"/>
      <c r="R251" s="26"/>
    </row>
    <row r="252" spans="1:18">
      <c r="A252" s="26"/>
      <c r="B252" s="26" t="str">
        <f ca="1">IF(E252="","",IF(OR(F252="已完成",F252="已取消",F252="已移交"),"4 暂不关注",IF(OR(R252="强制立即",A252="▶",AND(ISNUMBER(N252),IF(MOD(N252,1)=0,INT(N252)+下拉列表!$H$5,N252)&lt;=$B$1),AND(F252&lt;&gt;"等待他人",OR(COUNTIF(Q252,"*止损*")&gt;0,COUNTIF(Q252,"*阻塞*")&gt;0))),"1 立即处理",IF(OR(R252="强制今日",AND(F252="等待他人",M252=""),AND(ISNUMBER(M252),IF(MOD(M252,1)=0,INT(M252)+下拉列表!$H$2,M252)&lt;=$B$1),AND(ISNUMBER(N252),INT(IF(MOD(N252,1)=0,INT(N252)+下拉列表!$H$5,N252))=INT($B$1),IF(MOD(N252,1)=0,INT(N252)+下拉列表!$H$5,N252)&gt;$B$1),AND(ISNUMBER(N252),INT(IF(MOD(N252,1)=0,INT(N252)+下拉列表!$H$5,N252))=INT($B$1)+1),AND(COUNTIF(Q252,"*领导DDL*")&gt;0,ISNUMBER(N252),INT(IF(MOD(N252,1)=0,INT(N252)+下拉列表!$H$5,N252))&lt;=INT($B$1)+2)),"2 今日处理",IF(AND(F252="等待他人",ISNUMBER(M252),IF(MOD(M252,1)=0,INT(M252)+下拉列表!$H$2,M252)&gt;$B$1),"4 暂不关注","3 近期关注")))))</f>
        <v/>
      </c>
      <c r="C252" s="26"/>
      <c r="D252" s="26"/>
      <c r="E252" s="26"/>
      <c r="F252" s="26"/>
      <c r="G252" s="26"/>
      <c r="H252" s="26"/>
      <c r="I252" s="26"/>
      <c r="J252" s="26"/>
      <c r="K252" s="32"/>
      <c r="L252" s="32"/>
      <c r="M252" s="33"/>
      <c r="N252" s="33"/>
      <c r="O252" s="34" t="str">
        <f ca="1">IF(E252="","",IF(L252="","",MAX(0,INT($B$1)-INT(L252))))</f>
        <v/>
      </c>
      <c r="P252" s="26"/>
      <c r="Q252" s="26"/>
      <c r="R252" s="26"/>
    </row>
    <row r="253" spans="1:18">
      <c r="A253" s="26"/>
      <c r="B253" s="26" t="str">
        <f ca="1">IF(E253="","",IF(OR(F253="已完成",F253="已取消",F253="已移交"),"4 暂不关注",IF(OR(R253="强制立即",A253="▶",AND(ISNUMBER(N253),IF(MOD(N253,1)=0,INT(N253)+下拉列表!$H$5,N253)&lt;=$B$1),AND(F253&lt;&gt;"等待他人",OR(COUNTIF(Q253,"*止损*")&gt;0,COUNTIF(Q253,"*阻塞*")&gt;0))),"1 立即处理",IF(OR(R253="强制今日",AND(F253="等待他人",M253=""),AND(ISNUMBER(M253),IF(MOD(M253,1)=0,INT(M253)+下拉列表!$H$2,M253)&lt;=$B$1),AND(ISNUMBER(N253),INT(IF(MOD(N253,1)=0,INT(N253)+下拉列表!$H$5,N253))=INT($B$1),IF(MOD(N253,1)=0,INT(N253)+下拉列表!$H$5,N253)&gt;$B$1),AND(ISNUMBER(N253),INT(IF(MOD(N253,1)=0,INT(N253)+下拉列表!$H$5,N253))=INT($B$1)+1),AND(COUNTIF(Q253,"*领导DDL*")&gt;0,ISNUMBER(N253),INT(IF(MOD(N253,1)=0,INT(N253)+下拉列表!$H$5,N253))&lt;=INT($B$1)+2)),"2 今日处理",IF(AND(F253="等待他人",ISNUMBER(M253),IF(MOD(M253,1)=0,INT(M253)+下拉列表!$H$2,M253)&gt;$B$1),"4 暂不关注","3 近期关注")))))</f>
        <v/>
      </c>
      <c r="C253" s="26"/>
      <c r="D253" s="26"/>
      <c r="E253" s="26"/>
      <c r="F253" s="26"/>
      <c r="G253" s="26"/>
      <c r="H253" s="26"/>
      <c r="I253" s="26"/>
      <c r="J253" s="26"/>
      <c r="K253" s="32"/>
      <c r="L253" s="32"/>
      <c r="M253" s="33"/>
      <c r="N253" s="33"/>
      <c r="O253" s="34" t="str">
        <f ca="1">IF(E253="","",IF(L253="","",MAX(0,INT($B$1)-INT(L253))))</f>
        <v/>
      </c>
      <c r="P253" s="26"/>
      <c r="Q253" s="26"/>
      <c r="R253" s="26"/>
    </row>
    <row r="254" spans="1:18">
      <c r="A254" s="26"/>
      <c r="B254" s="26" t="str">
        <f ca="1">IF(E254="","",IF(OR(F254="已完成",F254="已取消",F254="已移交"),"4 暂不关注",IF(OR(R254="强制立即",A254="▶",AND(ISNUMBER(N254),IF(MOD(N254,1)=0,INT(N254)+下拉列表!$H$5,N254)&lt;=$B$1),AND(F254&lt;&gt;"等待他人",OR(COUNTIF(Q254,"*止损*")&gt;0,COUNTIF(Q254,"*阻塞*")&gt;0))),"1 立即处理",IF(OR(R254="强制今日",AND(F254="等待他人",M254=""),AND(ISNUMBER(M254),IF(MOD(M254,1)=0,INT(M254)+下拉列表!$H$2,M254)&lt;=$B$1),AND(ISNUMBER(N254),INT(IF(MOD(N254,1)=0,INT(N254)+下拉列表!$H$5,N254))=INT($B$1),IF(MOD(N254,1)=0,INT(N254)+下拉列表!$H$5,N254)&gt;$B$1),AND(ISNUMBER(N254),INT(IF(MOD(N254,1)=0,INT(N254)+下拉列表!$H$5,N254))=INT($B$1)+1),AND(COUNTIF(Q254,"*领导DDL*")&gt;0,ISNUMBER(N254),INT(IF(MOD(N254,1)=0,INT(N254)+下拉列表!$H$5,N254))&lt;=INT($B$1)+2)),"2 今日处理",IF(AND(F254="等待他人",ISNUMBER(M254),IF(MOD(M254,1)=0,INT(M254)+下拉列表!$H$2,M254)&gt;$B$1),"4 暂不关注","3 近期关注")))))</f>
        <v/>
      </c>
      <c r="C254" s="26"/>
      <c r="D254" s="26"/>
      <c r="E254" s="26"/>
      <c r="F254" s="26"/>
      <c r="G254" s="26"/>
      <c r="H254" s="26"/>
      <c r="I254" s="26"/>
      <c r="J254" s="26"/>
      <c r="K254" s="32"/>
      <c r="L254" s="32"/>
      <c r="M254" s="33"/>
      <c r="N254" s="33"/>
      <c r="O254" s="34" t="str">
        <f ca="1">IF(E254="","",IF(L254="","",MAX(0,INT($B$1)-INT(L254))))</f>
        <v/>
      </c>
      <c r="P254" s="26"/>
      <c r="Q254" s="26"/>
      <c r="R254" s="26"/>
    </row>
    <row r="255" spans="1:18">
      <c r="A255" s="26"/>
      <c r="B255" s="26" t="str">
        <f ca="1">IF(E255="","",IF(OR(F255="已完成",F255="已取消",F255="已移交"),"4 暂不关注",IF(OR(R255="强制立即",A255="▶",AND(ISNUMBER(N255),IF(MOD(N255,1)=0,INT(N255)+下拉列表!$H$5,N255)&lt;=$B$1),AND(F255&lt;&gt;"等待他人",OR(COUNTIF(Q255,"*止损*")&gt;0,COUNTIF(Q255,"*阻塞*")&gt;0))),"1 立即处理",IF(OR(R255="强制今日",AND(F255="等待他人",M255=""),AND(ISNUMBER(M255),IF(MOD(M255,1)=0,INT(M255)+下拉列表!$H$2,M255)&lt;=$B$1),AND(ISNUMBER(N255),INT(IF(MOD(N255,1)=0,INT(N255)+下拉列表!$H$5,N255))=INT($B$1),IF(MOD(N255,1)=0,INT(N255)+下拉列表!$H$5,N255)&gt;$B$1),AND(ISNUMBER(N255),INT(IF(MOD(N255,1)=0,INT(N255)+下拉列表!$H$5,N255))=INT($B$1)+1),AND(COUNTIF(Q255,"*领导DDL*")&gt;0,ISNUMBER(N255),INT(IF(MOD(N255,1)=0,INT(N255)+下拉列表!$H$5,N255))&lt;=INT($B$1)+2)),"2 今日处理",IF(AND(F255="等待他人",ISNUMBER(M255),IF(MOD(M255,1)=0,INT(M255)+下拉列表!$H$2,M255)&gt;$B$1),"4 暂不关注","3 近期关注")))))</f>
        <v/>
      </c>
      <c r="C255" s="26"/>
      <c r="D255" s="26"/>
      <c r="E255" s="26"/>
      <c r="F255" s="26"/>
      <c r="G255" s="26"/>
      <c r="H255" s="26"/>
      <c r="I255" s="26"/>
      <c r="J255" s="26"/>
      <c r="K255" s="32"/>
      <c r="L255" s="32"/>
      <c r="M255" s="33"/>
      <c r="N255" s="33"/>
      <c r="O255" s="34" t="str">
        <f ca="1">IF(E255="","",IF(L255="","",MAX(0,INT($B$1)-INT(L255))))</f>
        <v/>
      </c>
      <c r="P255" s="26"/>
      <c r="Q255" s="26"/>
      <c r="R255" s="26"/>
    </row>
    <row r="256" spans="1:18">
      <c r="A256" s="26"/>
      <c r="B256" s="26" t="str">
        <f ca="1">IF(E256="","",IF(OR(F256="已完成",F256="已取消",F256="已移交"),"4 暂不关注",IF(OR(R256="强制立即",A256="▶",AND(ISNUMBER(N256),IF(MOD(N256,1)=0,INT(N256)+下拉列表!$H$5,N256)&lt;=$B$1),AND(F256&lt;&gt;"等待他人",OR(COUNTIF(Q256,"*止损*")&gt;0,COUNTIF(Q256,"*阻塞*")&gt;0))),"1 立即处理",IF(OR(R256="强制今日",AND(F256="等待他人",M256=""),AND(ISNUMBER(M256),IF(MOD(M256,1)=0,INT(M256)+下拉列表!$H$2,M256)&lt;=$B$1),AND(ISNUMBER(N256),INT(IF(MOD(N256,1)=0,INT(N256)+下拉列表!$H$5,N256))=INT($B$1),IF(MOD(N256,1)=0,INT(N256)+下拉列表!$H$5,N256)&gt;$B$1),AND(ISNUMBER(N256),INT(IF(MOD(N256,1)=0,INT(N256)+下拉列表!$H$5,N256))=INT($B$1)+1),AND(COUNTIF(Q256,"*领导DDL*")&gt;0,ISNUMBER(N256),INT(IF(MOD(N256,1)=0,INT(N256)+下拉列表!$H$5,N256))&lt;=INT($B$1)+2)),"2 今日处理",IF(AND(F256="等待他人",ISNUMBER(M256),IF(MOD(M256,1)=0,INT(M256)+下拉列表!$H$2,M256)&gt;$B$1),"4 暂不关注","3 近期关注")))))</f>
        <v/>
      </c>
      <c r="C256" s="26"/>
      <c r="D256" s="26"/>
      <c r="E256" s="26"/>
      <c r="F256" s="26"/>
      <c r="G256" s="26"/>
      <c r="H256" s="26"/>
      <c r="I256" s="26"/>
      <c r="J256" s="26"/>
      <c r="K256" s="32"/>
      <c r="L256" s="32"/>
      <c r="M256" s="33"/>
      <c r="N256" s="33"/>
      <c r="O256" s="34" t="str">
        <f ca="1">IF(E256="","",IF(L256="","",MAX(0,INT($B$1)-INT(L256))))</f>
        <v/>
      </c>
      <c r="P256" s="26"/>
      <c r="Q256" s="26"/>
      <c r="R256" s="26"/>
    </row>
    <row r="257" spans="1:18">
      <c r="A257" s="26"/>
      <c r="B257" s="26" t="str">
        <f ca="1">IF(E257="","",IF(OR(F257="已完成",F257="已取消",F257="已移交"),"4 暂不关注",IF(OR(R257="强制立即",A257="▶",AND(ISNUMBER(N257),IF(MOD(N257,1)=0,INT(N257)+下拉列表!$H$5,N257)&lt;=$B$1),AND(F257&lt;&gt;"等待他人",OR(COUNTIF(Q257,"*止损*")&gt;0,COUNTIF(Q257,"*阻塞*")&gt;0))),"1 立即处理",IF(OR(R257="强制今日",AND(F257="等待他人",M257=""),AND(ISNUMBER(M257),IF(MOD(M257,1)=0,INT(M257)+下拉列表!$H$2,M257)&lt;=$B$1),AND(ISNUMBER(N257),INT(IF(MOD(N257,1)=0,INT(N257)+下拉列表!$H$5,N257))=INT($B$1),IF(MOD(N257,1)=0,INT(N257)+下拉列表!$H$5,N257)&gt;$B$1),AND(ISNUMBER(N257),INT(IF(MOD(N257,1)=0,INT(N257)+下拉列表!$H$5,N257))=INT($B$1)+1),AND(COUNTIF(Q257,"*领导DDL*")&gt;0,ISNUMBER(N257),INT(IF(MOD(N257,1)=0,INT(N257)+下拉列表!$H$5,N257))&lt;=INT($B$1)+2)),"2 今日处理",IF(AND(F257="等待他人",ISNUMBER(M257),IF(MOD(M257,1)=0,INT(M257)+下拉列表!$H$2,M257)&gt;$B$1),"4 暂不关注","3 近期关注")))))</f>
        <v/>
      </c>
      <c r="C257" s="26"/>
      <c r="D257" s="26"/>
      <c r="E257" s="26"/>
      <c r="F257" s="26"/>
      <c r="G257" s="26"/>
      <c r="H257" s="26"/>
      <c r="I257" s="26"/>
      <c r="J257" s="26"/>
      <c r="K257" s="32"/>
      <c r="L257" s="32"/>
      <c r="M257" s="33"/>
      <c r="N257" s="33"/>
      <c r="O257" s="34" t="str">
        <f ca="1">IF(E257="","",IF(L257="","",MAX(0,INT($B$1)-INT(L257))))</f>
        <v/>
      </c>
      <c r="P257" s="26"/>
      <c r="Q257" s="26"/>
      <c r="R257" s="26"/>
    </row>
    <row r="258" spans="1:18">
      <c r="A258" s="26"/>
      <c r="B258" s="26" t="str">
        <f ca="1">IF(E258="","",IF(OR(F258="已完成",F258="已取消",F258="已移交"),"4 暂不关注",IF(OR(R258="强制立即",A258="▶",AND(ISNUMBER(N258),IF(MOD(N258,1)=0,INT(N258)+下拉列表!$H$5,N258)&lt;=$B$1),AND(F258&lt;&gt;"等待他人",OR(COUNTIF(Q258,"*止损*")&gt;0,COUNTIF(Q258,"*阻塞*")&gt;0))),"1 立即处理",IF(OR(R258="强制今日",AND(F258="等待他人",M258=""),AND(ISNUMBER(M258),IF(MOD(M258,1)=0,INT(M258)+下拉列表!$H$2,M258)&lt;=$B$1),AND(ISNUMBER(N258),INT(IF(MOD(N258,1)=0,INT(N258)+下拉列表!$H$5,N258))=INT($B$1),IF(MOD(N258,1)=0,INT(N258)+下拉列表!$H$5,N258)&gt;$B$1),AND(ISNUMBER(N258),INT(IF(MOD(N258,1)=0,INT(N258)+下拉列表!$H$5,N258))=INT($B$1)+1),AND(COUNTIF(Q258,"*领导DDL*")&gt;0,ISNUMBER(N258),INT(IF(MOD(N258,1)=0,INT(N258)+下拉列表!$H$5,N258))&lt;=INT($B$1)+2)),"2 今日处理",IF(AND(F258="等待他人",ISNUMBER(M258),IF(MOD(M258,1)=0,INT(M258)+下拉列表!$H$2,M258)&gt;$B$1),"4 暂不关注","3 近期关注")))))</f>
        <v/>
      </c>
      <c r="C258" s="26"/>
      <c r="D258" s="26"/>
      <c r="E258" s="26"/>
      <c r="F258" s="26"/>
      <c r="G258" s="26"/>
      <c r="H258" s="26"/>
      <c r="I258" s="26"/>
      <c r="J258" s="26"/>
      <c r="K258" s="32"/>
      <c r="L258" s="32"/>
      <c r="M258" s="33"/>
      <c r="N258" s="33"/>
      <c r="O258" s="34" t="str">
        <f ca="1">IF(E258="","",IF(L258="","",MAX(0,INT($B$1)-INT(L258))))</f>
        <v/>
      </c>
      <c r="P258" s="26"/>
      <c r="Q258" s="26"/>
      <c r="R258" s="26"/>
    </row>
    <row r="259" spans="1:18">
      <c r="A259" s="26"/>
      <c r="B259" s="26" t="str">
        <f ca="1">IF(E259="","",IF(OR(F259="已完成",F259="已取消",F259="已移交"),"4 暂不关注",IF(OR(R259="强制立即",A259="▶",AND(ISNUMBER(N259),IF(MOD(N259,1)=0,INT(N259)+下拉列表!$H$5,N259)&lt;=$B$1),AND(F259&lt;&gt;"等待他人",OR(COUNTIF(Q259,"*止损*")&gt;0,COUNTIF(Q259,"*阻塞*")&gt;0))),"1 立即处理",IF(OR(R259="强制今日",AND(F259="等待他人",M259=""),AND(ISNUMBER(M259),IF(MOD(M259,1)=0,INT(M259)+下拉列表!$H$2,M259)&lt;=$B$1),AND(ISNUMBER(N259),INT(IF(MOD(N259,1)=0,INT(N259)+下拉列表!$H$5,N259))=INT($B$1),IF(MOD(N259,1)=0,INT(N259)+下拉列表!$H$5,N259)&gt;$B$1),AND(ISNUMBER(N259),INT(IF(MOD(N259,1)=0,INT(N259)+下拉列表!$H$5,N259))=INT($B$1)+1),AND(COUNTIF(Q259,"*领导DDL*")&gt;0,ISNUMBER(N259),INT(IF(MOD(N259,1)=0,INT(N259)+下拉列表!$H$5,N259))&lt;=INT($B$1)+2)),"2 今日处理",IF(AND(F259="等待他人",ISNUMBER(M259),IF(MOD(M259,1)=0,INT(M259)+下拉列表!$H$2,M259)&gt;$B$1),"4 暂不关注","3 近期关注")))))</f>
        <v/>
      </c>
      <c r="C259" s="26"/>
      <c r="D259" s="26"/>
      <c r="E259" s="26"/>
      <c r="F259" s="26"/>
      <c r="G259" s="26"/>
      <c r="H259" s="26"/>
      <c r="I259" s="26"/>
      <c r="J259" s="26"/>
      <c r="K259" s="32"/>
      <c r="L259" s="32"/>
      <c r="M259" s="33"/>
      <c r="N259" s="33"/>
      <c r="O259" s="34" t="str">
        <f ca="1">IF(E259="","",IF(L259="","",MAX(0,INT($B$1)-INT(L259))))</f>
        <v/>
      </c>
      <c r="P259" s="26"/>
      <c r="Q259" s="26"/>
      <c r="R259" s="26"/>
    </row>
    <row r="260" spans="1:18">
      <c r="A260" s="26"/>
      <c r="B260" s="26" t="str">
        <f ca="1">IF(E260="","",IF(OR(F260="已完成",F260="已取消",F260="已移交"),"4 暂不关注",IF(OR(R260="强制立即",A260="▶",AND(ISNUMBER(N260),IF(MOD(N260,1)=0,INT(N260)+下拉列表!$H$5,N260)&lt;=$B$1),AND(F260&lt;&gt;"等待他人",OR(COUNTIF(Q260,"*止损*")&gt;0,COUNTIF(Q260,"*阻塞*")&gt;0))),"1 立即处理",IF(OR(R260="强制今日",AND(F260="等待他人",M260=""),AND(ISNUMBER(M260),IF(MOD(M260,1)=0,INT(M260)+下拉列表!$H$2,M260)&lt;=$B$1),AND(ISNUMBER(N260),INT(IF(MOD(N260,1)=0,INT(N260)+下拉列表!$H$5,N260))=INT($B$1),IF(MOD(N260,1)=0,INT(N260)+下拉列表!$H$5,N260)&gt;$B$1),AND(ISNUMBER(N260),INT(IF(MOD(N260,1)=0,INT(N260)+下拉列表!$H$5,N260))=INT($B$1)+1),AND(COUNTIF(Q260,"*领导DDL*")&gt;0,ISNUMBER(N260),INT(IF(MOD(N260,1)=0,INT(N260)+下拉列表!$H$5,N260))&lt;=INT($B$1)+2)),"2 今日处理",IF(AND(F260="等待他人",ISNUMBER(M260),IF(MOD(M260,1)=0,INT(M260)+下拉列表!$H$2,M260)&gt;$B$1),"4 暂不关注","3 近期关注")))))</f>
        <v/>
      </c>
      <c r="C260" s="26"/>
      <c r="D260" s="26"/>
      <c r="E260" s="26"/>
      <c r="F260" s="26"/>
      <c r="G260" s="26"/>
      <c r="H260" s="26"/>
      <c r="I260" s="26"/>
      <c r="J260" s="26"/>
      <c r="K260" s="32"/>
      <c r="L260" s="32"/>
      <c r="M260" s="33"/>
      <c r="N260" s="33"/>
      <c r="O260" s="34" t="str">
        <f ca="1">IF(E260="","",IF(L260="","",MAX(0,INT($B$1)-INT(L260))))</f>
        <v/>
      </c>
      <c r="P260" s="26"/>
      <c r="Q260" s="26"/>
      <c r="R260" s="26"/>
    </row>
    <row r="261" spans="1:18">
      <c r="A261" s="26"/>
      <c r="B261" s="26" t="str">
        <f ca="1">IF(E261="","",IF(OR(F261="已完成",F261="已取消",F261="已移交"),"4 暂不关注",IF(OR(R261="强制立即",A261="▶",AND(ISNUMBER(N261),IF(MOD(N261,1)=0,INT(N261)+下拉列表!$H$5,N261)&lt;=$B$1),AND(F261&lt;&gt;"等待他人",OR(COUNTIF(Q261,"*止损*")&gt;0,COUNTIF(Q261,"*阻塞*")&gt;0))),"1 立即处理",IF(OR(R261="强制今日",AND(F261="等待他人",M261=""),AND(ISNUMBER(M261),IF(MOD(M261,1)=0,INT(M261)+下拉列表!$H$2,M261)&lt;=$B$1),AND(ISNUMBER(N261),INT(IF(MOD(N261,1)=0,INT(N261)+下拉列表!$H$5,N261))=INT($B$1),IF(MOD(N261,1)=0,INT(N261)+下拉列表!$H$5,N261)&gt;$B$1),AND(ISNUMBER(N261),INT(IF(MOD(N261,1)=0,INT(N261)+下拉列表!$H$5,N261))=INT($B$1)+1),AND(COUNTIF(Q261,"*领导DDL*")&gt;0,ISNUMBER(N261),INT(IF(MOD(N261,1)=0,INT(N261)+下拉列表!$H$5,N261))&lt;=INT($B$1)+2)),"2 今日处理",IF(AND(F261="等待他人",ISNUMBER(M261),IF(MOD(M261,1)=0,INT(M261)+下拉列表!$H$2,M261)&gt;$B$1),"4 暂不关注","3 近期关注")))))</f>
        <v/>
      </c>
      <c r="C261" s="26"/>
      <c r="D261" s="26"/>
      <c r="E261" s="26"/>
      <c r="F261" s="26"/>
      <c r="G261" s="26"/>
      <c r="H261" s="26"/>
      <c r="I261" s="26"/>
      <c r="J261" s="26"/>
      <c r="K261" s="32"/>
      <c r="L261" s="32"/>
      <c r="M261" s="33"/>
      <c r="N261" s="33"/>
      <c r="O261" s="34" t="str">
        <f ca="1">IF(E261="","",IF(L261="","",MAX(0,INT($B$1)-INT(L261))))</f>
        <v/>
      </c>
      <c r="P261" s="26"/>
      <c r="Q261" s="26"/>
      <c r="R261" s="26"/>
    </row>
    <row r="262" spans="1:18">
      <c r="A262" s="26"/>
      <c r="B262" s="26" t="str">
        <f ca="1">IF(E262="","",IF(OR(F262="已完成",F262="已取消",F262="已移交"),"4 暂不关注",IF(OR(R262="强制立即",A262="▶",AND(ISNUMBER(N262),IF(MOD(N262,1)=0,INT(N262)+下拉列表!$H$5,N262)&lt;=$B$1),AND(F262&lt;&gt;"等待他人",OR(COUNTIF(Q262,"*止损*")&gt;0,COUNTIF(Q262,"*阻塞*")&gt;0))),"1 立即处理",IF(OR(R262="强制今日",AND(F262="等待他人",M262=""),AND(ISNUMBER(M262),IF(MOD(M262,1)=0,INT(M262)+下拉列表!$H$2,M262)&lt;=$B$1),AND(ISNUMBER(N262),INT(IF(MOD(N262,1)=0,INT(N262)+下拉列表!$H$5,N262))=INT($B$1),IF(MOD(N262,1)=0,INT(N262)+下拉列表!$H$5,N262)&gt;$B$1),AND(ISNUMBER(N262),INT(IF(MOD(N262,1)=0,INT(N262)+下拉列表!$H$5,N262))=INT($B$1)+1),AND(COUNTIF(Q262,"*领导DDL*")&gt;0,ISNUMBER(N262),INT(IF(MOD(N262,1)=0,INT(N262)+下拉列表!$H$5,N262))&lt;=INT($B$1)+2)),"2 今日处理",IF(AND(F262="等待他人",ISNUMBER(M262),IF(MOD(M262,1)=0,INT(M262)+下拉列表!$H$2,M262)&gt;$B$1),"4 暂不关注","3 近期关注")))))</f>
        <v/>
      </c>
      <c r="C262" s="26"/>
      <c r="D262" s="26"/>
      <c r="E262" s="26"/>
      <c r="F262" s="26"/>
      <c r="G262" s="26"/>
      <c r="H262" s="26"/>
      <c r="I262" s="26"/>
      <c r="J262" s="26"/>
      <c r="K262" s="32"/>
      <c r="L262" s="32"/>
      <c r="M262" s="33"/>
      <c r="N262" s="33"/>
      <c r="O262" s="34" t="str">
        <f ca="1">IF(E262="","",IF(L262="","",MAX(0,INT($B$1)-INT(L262))))</f>
        <v/>
      </c>
      <c r="P262" s="26"/>
      <c r="Q262" s="26"/>
      <c r="R262" s="26"/>
    </row>
    <row r="263" spans="1:18">
      <c r="A263" s="26"/>
      <c r="B263" s="26" t="str">
        <f ca="1">IF(E263="","",IF(OR(F263="已完成",F263="已取消",F263="已移交"),"4 暂不关注",IF(OR(R263="强制立即",A263="▶",AND(ISNUMBER(N263),IF(MOD(N263,1)=0,INT(N263)+下拉列表!$H$5,N263)&lt;=$B$1),AND(F263&lt;&gt;"等待他人",OR(COUNTIF(Q263,"*止损*")&gt;0,COUNTIF(Q263,"*阻塞*")&gt;0))),"1 立即处理",IF(OR(R263="强制今日",AND(F263="等待他人",M263=""),AND(ISNUMBER(M263),IF(MOD(M263,1)=0,INT(M263)+下拉列表!$H$2,M263)&lt;=$B$1),AND(ISNUMBER(N263),INT(IF(MOD(N263,1)=0,INT(N263)+下拉列表!$H$5,N263))=INT($B$1),IF(MOD(N263,1)=0,INT(N263)+下拉列表!$H$5,N263)&gt;$B$1),AND(ISNUMBER(N263),INT(IF(MOD(N263,1)=0,INT(N263)+下拉列表!$H$5,N263))=INT($B$1)+1),AND(COUNTIF(Q263,"*领导DDL*")&gt;0,ISNUMBER(N263),INT(IF(MOD(N263,1)=0,INT(N263)+下拉列表!$H$5,N263))&lt;=INT($B$1)+2)),"2 今日处理",IF(AND(F263="等待他人",ISNUMBER(M263),IF(MOD(M263,1)=0,INT(M263)+下拉列表!$H$2,M263)&gt;$B$1),"4 暂不关注","3 近期关注")))))</f>
        <v/>
      </c>
      <c r="C263" s="26"/>
      <c r="D263" s="26"/>
      <c r="E263" s="26"/>
      <c r="F263" s="26"/>
      <c r="G263" s="26"/>
      <c r="H263" s="26"/>
      <c r="I263" s="26"/>
      <c r="J263" s="26"/>
      <c r="K263" s="32"/>
      <c r="L263" s="32"/>
      <c r="M263" s="33"/>
      <c r="N263" s="33"/>
      <c r="O263" s="34" t="str">
        <f ca="1">IF(E263="","",IF(L263="","",MAX(0,INT($B$1)-INT(L263))))</f>
        <v/>
      </c>
      <c r="P263" s="26"/>
      <c r="Q263" s="26"/>
      <c r="R263" s="26"/>
    </row>
    <row r="264" spans="1:18">
      <c r="A264" s="26"/>
      <c r="B264" s="26" t="str">
        <f ca="1">IF(E264="","",IF(OR(F264="已完成",F264="已取消",F264="已移交"),"4 暂不关注",IF(OR(R264="强制立即",A264="▶",AND(ISNUMBER(N264),IF(MOD(N264,1)=0,INT(N264)+下拉列表!$H$5,N264)&lt;=$B$1),AND(F264&lt;&gt;"等待他人",OR(COUNTIF(Q264,"*止损*")&gt;0,COUNTIF(Q264,"*阻塞*")&gt;0))),"1 立即处理",IF(OR(R264="强制今日",AND(F264="等待他人",M264=""),AND(ISNUMBER(M264),IF(MOD(M264,1)=0,INT(M264)+下拉列表!$H$2,M264)&lt;=$B$1),AND(ISNUMBER(N264),INT(IF(MOD(N264,1)=0,INT(N264)+下拉列表!$H$5,N264))=INT($B$1),IF(MOD(N264,1)=0,INT(N264)+下拉列表!$H$5,N264)&gt;$B$1),AND(ISNUMBER(N264),INT(IF(MOD(N264,1)=0,INT(N264)+下拉列表!$H$5,N264))=INT($B$1)+1),AND(COUNTIF(Q264,"*领导DDL*")&gt;0,ISNUMBER(N264),INT(IF(MOD(N264,1)=0,INT(N264)+下拉列表!$H$5,N264))&lt;=INT($B$1)+2)),"2 今日处理",IF(AND(F264="等待他人",ISNUMBER(M264),IF(MOD(M264,1)=0,INT(M264)+下拉列表!$H$2,M264)&gt;$B$1),"4 暂不关注","3 近期关注")))))</f>
        <v/>
      </c>
      <c r="C264" s="26"/>
      <c r="D264" s="26"/>
      <c r="E264" s="26"/>
      <c r="F264" s="26"/>
      <c r="G264" s="26"/>
      <c r="H264" s="26"/>
      <c r="I264" s="26"/>
      <c r="J264" s="26"/>
      <c r="K264" s="32"/>
      <c r="L264" s="32"/>
      <c r="M264" s="33"/>
      <c r="N264" s="33"/>
      <c r="O264" s="34" t="str">
        <f ca="1">IF(E264="","",IF(L264="","",MAX(0,INT($B$1)-INT(L264))))</f>
        <v/>
      </c>
      <c r="P264" s="26"/>
      <c r="Q264" s="26"/>
      <c r="R264" s="26"/>
    </row>
    <row r="265" spans="1:18">
      <c r="A265" s="26"/>
      <c r="B265" s="26" t="str">
        <f ca="1">IF(E265="","",IF(OR(F265="已完成",F265="已取消",F265="已移交"),"4 暂不关注",IF(OR(R265="强制立即",A265="▶",AND(ISNUMBER(N265),IF(MOD(N265,1)=0,INT(N265)+下拉列表!$H$5,N265)&lt;=$B$1),AND(F265&lt;&gt;"等待他人",OR(COUNTIF(Q265,"*止损*")&gt;0,COUNTIF(Q265,"*阻塞*")&gt;0))),"1 立即处理",IF(OR(R265="强制今日",AND(F265="等待他人",M265=""),AND(ISNUMBER(M265),IF(MOD(M265,1)=0,INT(M265)+下拉列表!$H$2,M265)&lt;=$B$1),AND(ISNUMBER(N265),INT(IF(MOD(N265,1)=0,INT(N265)+下拉列表!$H$5,N265))=INT($B$1),IF(MOD(N265,1)=0,INT(N265)+下拉列表!$H$5,N265)&gt;$B$1),AND(ISNUMBER(N265),INT(IF(MOD(N265,1)=0,INT(N265)+下拉列表!$H$5,N265))=INT($B$1)+1),AND(COUNTIF(Q265,"*领导DDL*")&gt;0,ISNUMBER(N265),INT(IF(MOD(N265,1)=0,INT(N265)+下拉列表!$H$5,N265))&lt;=INT($B$1)+2)),"2 今日处理",IF(AND(F265="等待他人",ISNUMBER(M265),IF(MOD(M265,1)=0,INT(M265)+下拉列表!$H$2,M265)&gt;$B$1),"4 暂不关注","3 近期关注")))))</f>
        <v/>
      </c>
      <c r="C265" s="26"/>
      <c r="D265" s="26"/>
      <c r="E265" s="26"/>
      <c r="F265" s="26"/>
      <c r="G265" s="26"/>
      <c r="H265" s="26"/>
      <c r="I265" s="26"/>
      <c r="J265" s="26"/>
      <c r="K265" s="32"/>
      <c r="L265" s="32"/>
      <c r="M265" s="33"/>
      <c r="N265" s="33"/>
      <c r="O265" s="34" t="str">
        <f ca="1">IF(E265="","",IF(L265="","",MAX(0,INT($B$1)-INT(L265))))</f>
        <v/>
      </c>
      <c r="P265" s="26"/>
      <c r="Q265" s="26"/>
      <c r="R265" s="26"/>
    </row>
    <row r="266" spans="1:18">
      <c r="A266" s="26"/>
      <c r="B266" s="26" t="str">
        <f ca="1">IF(E266="","",IF(OR(F266="已完成",F266="已取消",F266="已移交"),"4 暂不关注",IF(OR(R266="强制立即",A266="▶",AND(ISNUMBER(N266),IF(MOD(N266,1)=0,INT(N266)+下拉列表!$H$5,N266)&lt;=$B$1),AND(F266&lt;&gt;"等待他人",OR(COUNTIF(Q266,"*止损*")&gt;0,COUNTIF(Q266,"*阻塞*")&gt;0))),"1 立即处理",IF(OR(R266="强制今日",AND(F266="等待他人",M266=""),AND(ISNUMBER(M266),IF(MOD(M266,1)=0,INT(M266)+下拉列表!$H$2,M266)&lt;=$B$1),AND(ISNUMBER(N266),INT(IF(MOD(N266,1)=0,INT(N266)+下拉列表!$H$5,N266))=INT($B$1),IF(MOD(N266,1)=0,INT(N266)+下拉列表!$H$5,N266)&gt;$B$1),AND(ISNUMBER(N266),INT(IF(MOD(N266,1)=0,INT(N266)+下拉列表!$H$5,N266))=INT($B$1)+1),AND(COUNTIF(Q266,"*领导DDL*")&gt;0,ISNUMBER(N266),INT(IF(MOD(N266,1)=0,INT(N266)+下拉列表!$H$5,N266))&lt;=INT($B$1)+2)),"2 今日处理",IF(AND(F266="等待他人",ISNUMBER(M266),IF(MOD(M266,1)=0,INT(M266)+下拉列表!$H$2,M266)&gt;$B$1),"4 暂不关注","3 近期关注")))))</f>
        <v/>
      </c>
      <c r="C266" s="26"/>
      <c r="D266" s="26"/>
      <c r="E266" s="26"/>
      <c r="F266" s="26"/>
      <c r="G266" s="26"/>
      <c r="H266" s="26"/>
      <c r="I266" s="26"/>
      <c r="J266" s="26"/>
      <c r="K266" s="32"/>
      <c r="L266" s="32"/>
      <c r="M266" s="33"/>
      <c r="N266" s="33"/>
      <c r="O266" s="34" t="str">
        <f ca="1">IF(E266="","",IF(L266="","",MAX(0,INT($B$1)-INT(L266))))</f>
        <v/>
      </c>
      <c r="P266" s="26"/>
      <c r="Q266" s="26"/>
      <c r="R266" s="26"/>
    </row>
    <row r="267" spans="1:18">
      <c r="A267" s="26"/>
      <c r="B267" s="26" t="str">
        <f ca="1">IF(E267="","",IF(OR(F267="已完成",F267="已取消",F267="已移交"),"4 暂不关注",IF(OR(R267="强制立即",A267="▶",AND(ISNUMBER(N267),IF(MOD(N267,1)=0,INT(N267)+下拉列表!$H$5,N267)&lt;=$B$1),AND(F267&lt;&gt;"等待他人",OR(COUNTIF(Q267,"*止损*")&gt;0,COUNTIF(Q267,"*阻塞*")&gt;0))),"1 立即处理",IF(OR(R267="强制今日",AND(F267="等待他人",M267=""),AND(ISNUMBER(M267),IF(MOD(M267,1)=0,INT(M267)+下拉列表!$H$2,M267)&lt;=$B$1),AND(ISNUMBER(N267),INT(IF(MOD(N267,1)=0,INT(N267)+下拉列表!$H$5,N267))=INT($B$1),IF(MOD(N267,1)=0,INT(N267)+下拉列表!$H$5,N267)&gt;$B$1),AND(ISNUMBER(N267),INT(IF(MOD(N267,1)=0,INT(N267)+下拉列表!$H$5,N267))=INT($B$1)+1),AND(COUNTIF(Q267,"*领导DDL*")&gt;0,ISNUMBER(N267),INT(IF(MOD(N267,1)=0,INT(N267)+下拉列表!$H$5,N267))&lt;=INT($B$1)+2)),"2 今日处理",IF(AND(F267="等待他人",ISNUMBER(M267),IF(MOD(M267,1)=0,INT(M267)+下拉列表!$H$2,M267)&gt;$B$1),"4 暂不关注","3 近期关注")))))</f>
        <v/>
      </c>
      <c r="C267" s="26"/>
      <c r="D267" s="26"/>
      <c r="E267" s="26"/>
      <c r="F267" s="26"/>
      <c r="G267" s="26"/>
      <c r="H267" s="26"/>
      <c r="I267" s="26"/>
      <c r="J267" s="26"/>
      <c r="K267" s="32"/>
      <c r="L267" s="32"/>
      <c r="M267" s="33"/>
      <c r="N267" s="33"/>
      <c r="O267" s="34" t="str">
        <f ca="1">IF(E267="","",IF(L267="","",MAX(0,INT($B$1)-INT(L267))))</f>
        <v/>
      </c>
      <c r="P267" s="26"/>
      <c r="Q267" s="26"/>
      <c r="R267" s="26"/>
    </row>
    <row r="268" spans="1:18">
      <c r="A268" s="26"/>
      <c r="B268" s="26" t="str">
        <f ca="1">IF(E268="","",IF(OR(F268="已完成",F268="已取消",F268="已移交"),"4 暂不关注",IF(OR(R268="强制立即",A268="▶",AND(ISNUMBER(N268),IF(MOD(N268,1)=0,INT(N268)+下拉列表!$H$5,N268)&lt;=$B$1),AND(F268&lt;&gt;"等待他人",OR(COUNTIF(Q268,"*止损*")&gt;0,COUNTIF(Q268,"*阻塞*")&gt;0))),"1 立即处理",IF(OR(R268="强制今日",AND(F268="等待他人",M268=""),AND(ISNUMBER(M268),IF(MOD(M268,1)=0,INT(M268)+下拉列表!$H$2,M268)&lt;=$B$1),AND(ISNUMBER(N268),INT(IF(MOD(N268,1)=0,INT(N268)+下拉列表!$H$5,N268))=INT($B$1),IF(MOD(N268,1)=0,INT(N268)+下拉列表!$H$5,N268)&gt;$B$1),AND(ISNUMBER(N268),INT(IF(MOD(N268,1)=0,INT(N268)+下拉列表!$H$5,N268))=INT($B$1)+1),AND(COUNTIF(Q268,"*领导DDL*")&gt;0,ISNUMBER(N268),INT(IF(MOD(N268,1)=0,INT(N268)+下拉列表!$H$5,N268))&lt;=INT($B$1)+2)),"2 今日处理",IF(AND(F268="等待他人",ISNUMBER(M268),IF(MOD(M268,1)=0,INT(M268)+下拉列表!$H$2,M268)&gt;$B$1),"4 暂不关注","3 近期关注")))))</f>
        <v/>
      </c>
      <c r="C268" s="26"/>
      <c r="D268" s="26"/>
      <c r="E268" s="26"/>
      <c r="F268" s="26"/>
      <c r="G268" s="26"/>
      <c r="H268" s="26"/>
      <c r="I268" s="26"/>
      <c r="J268" s="26"/>
      <c r="K268" s="32"/>
      <c r="L268" s="32"/>
      <c r="M268" s="33"/>
      <c r="N268" s="33"/>
      <c r="O268" s="34" t="str">
        <f ca="1">IF(E268="","",IF(L268="","",MAX(0,INT($B$1)-INT(L268))))</f>
        <v/>
      </c>
      <c r="P268" s="26"/>
      <c r="Q268" s="26"/>
      <c r="R268" s="26"/>
    </row>
    <row r="269" spans="1:18">
      <c r="A269" s="26"/>
      <c r="B269" s="26" t="str">
        <f ca="1">IF(E269="","",IF(OR(F269="已完成",F269="已取消",F269="已移交"),"4 暂不关注",IF(OR(R269="强制立即",A269="▶",AND(ISNUMBER(N269),IF(MOD(N269,1)=0,INT(N269)+下拉列表!$H$5,N269)&lt;=$B$1),AND(F269&lt;&gt;"等待他人",OR(COUNTIF(Q269,"*止损*")&gt;0,COUNTIF(Q269,"*阻塞*")&gt;0))),"1 立即处理",IF(OR(R269="强制今日",AND(F269="等待他人",M269=""),AND(ISNUMBER(M269),IF(MOD(M269,1)=0,INT(M269)+下拉列表!$H$2,M269)&lt;=$B$1),AND(ISNUMBER(N269),INT(IF(MOD(N269,1)=0,INT(N269)+下拉列表!$H$5,N269))=INT($B$1),IF(MOD(N269,1)=0,INT(N269)+下拉列表!$H$5,N269)&gt;$B$1),AND(ISNUMBER(N269),INT(IF(MOD(N269,1)=0,INT(N269)+下拉列表!$H$5,N269))=INT($B$1)+1),AND(COUNTIF(Q269,"*领导DDL*")&gt;0,ISNUMBER(N269),INT(IF(MOD(N269,1)=0,INT(N269)+下拉列表!$H$5,N269))&lt;=INT($B$1)+2)),"2 今日处理",IF(AND(F269="等待他人",ISNUMBER(M269),IF(MOD(M269,1)=0,INT(M269)+下拉列表!$H$2,M269)&gt;$B$1),"4 暂不关注","3 近期关注")))))</f>
        <v/>
      </c>
      <c r="C269" s="26"/>
      <c r="D269" s="26"/>
      <c r="E269" s="26"/>
      <c r="F269" s="26"/>
      <c r="G269" s="26"/>
      <c r="H269" s="26"/>
      <c r="I269" s="26"/>
      <c r="J269" s="26"/>
      <c r="K269" s="32"/>
      <c r="L269" s="32"/>
      <c r="M269" s="33"/>
      <c r="N269" s="33"/>
      <c r="O269" s="34" t="str">
        <f ca="1">IF(E269="","",IF(L269="","",MAX(0,INT($B$1)-INT(L269))))</f>
        <v/>
      </c>
      <c r="P269" s="26"/>
      <c r="Q269" s="26"/>
      <c r="R269" s="26"/>
    </row>
    <row r="270" spans="1:18">
      <c r="A270" s="26"/>
      <c r="B270" s="26" t="str">
        <f ca="1">IF(E270="","",IF(OR(F270="已完成",F270="已取消",F270="已移交"),"4 暂不关注",IF(OR(R270="强制立即",A270="▶",AND(ISNUMBER(N270),IF(MOD(N270,1)=0,INT(N270)+下拉列表!$H$5,N270)&lt;=$B$1),AND(F270&lt;&gt;"等待他人",OR(COUNTIF(Q270,"*止损*")&gt;0,COUNTIF(Q270,"*阻塞*")&gt;0))),"1 立即处理",IF(OR(R270="强制今日",AND(F270="等待他人",M270=""),AND(ISNUMBER(M270),IF(MOD(M270,1)=0,INT(M270)+下拉列表!$H$2,M270)&lt;=$B$1),AND(ISNUMBER(N270),INT(IF(MOD(N270,1)=0,INT(N270)+下拉列表!$H$5,N270))=INT($B$1),IF(MOD(N270,1)=0,INT(N270)+下拉列表!$H$5,N270)&gt;$B$1),AND(ISNUMBER(N270),INT(IF(MOD(N270,1)=0,INT(N270)+下拉列表!$H$5,N270))=INT($B$1)+1),AND(COUNTIF(Q270,"*领导DDL*")&gt;0,ISNUMBER(N270),INT(IF(MOD(N270,1)=0,INT(N270)+下拉列表!$H$5,N270))&lt;=INT($B$1)+2)),"2 今日处理",IF(AND(F270="等待他人",ISNUMBER(M270),IF(MOD(M270,1)=0,INT(M270)+下拉列表!$H$2,M270)&gt;$B$1),"4 暂不关注","3 近期关注")))))</f>
        <v/>
      </c>
      <c r="C270" s="26"/>
      <c r="D270" s="26"/>
      <c r="E270" s="26"/>
      <c r="F270" s="26"/>
      <c r="G270" s="26"/>
      <c r="H270" s="26"/>
      <c r="I270" s="26"/>
      <c r="J270" s="26"/>
      <c r="K270" s="32"/>
      <c r="L270" s="32"/>
      <c r="M270" s="33"/>
      <c r="N270" s="33"/>
      <c r="O270" s="34" t="str">
        <f ca="1">IF(E270="","",IF(L270="","",MAX(0,INT($B$1)-INT(L270))))</f>
        <v/>
      </c>
      <c r="P270" s="26"/>
      <c r="Q270" s="26"/>
      <c r="R270" s="26"/>
    </row>
    <row r="271" spans="1:18">
      <c r="A271" s="26"/>
      <c r="B271" s="26" t="str">
        <f ca="1">IF(E271="","",IF(OR(F271="已完成",F271="已取消",F271="已移交"),"4 暂不关注",IF(OR(R271="强制立即",A271="▶",AND(ISNUMBER(N271),IF(MOD(N271,1)=0,INT(N271)+下拉列表!$H$5,N271)&lt;=$B$1),AND(F271&lt;&gt;"等待他人",OR(COUNTIF(Q271,"*止损*")&gt;0,COUNTIF(Q271,"*阻塞*")&gt;0))),"1 立即处理",IF(OR(R271="强制今日",AND(F271="等待他人",M271=""),AND(ISNUMBER(M271),IF(MOD(M271,1)=0,INT(M271)+下拉列表!$H$2,M271)&lt;=$B$1),AND(ISNUMBER(N271),INT(IF(MOD(N271,1)=0,INT(N271)+下拉列表!$H$5,N271))=INT($B$1),IF(MOD(N271,1)=0,INT(N271)+下拉列表!$H$5,N271)&gt;$B$1),AND(ISNUMBER(N271),INT(IF(MOD(N271,1)=0,INT(N271)+下拉列表!$H$5,N271))=INT($B$1)+1),AND(COUNTIF(Q271,"*领导DDL*")&gt;0,ISNUMBER(N271),INT(IF(MOD(N271,1)=0,INT(N271)+下拉列表!$H$5,N271))&lt;=INT($B$1)+2)),"2 今日处理",IF(AND(F271="等待他人",ISNUMBER(M271),IF(MOD(M271,1)=0,INT(M271)+下拉列表!$H$2,M271)&gt;$B$1),"4 暂不关注","3 近期关注")))))</f>
        <v/>
      </c>
      <c r="C271" s="26"/>
      <c r="D271" s="26"/>
      <c r="E271" s="26"/>
      <c r="F271" s="26"/>
      <c r="G271" s="26"/>
      <c r="H271" s="26"/>
      <c r="I271" s="26"/>
      <c r="J271" s="26"/>
      <c r="K271" s="32"/>
      <c r="L271" s="32"/>
      <c r="M271" s="33"/>
      <c r="N271" s="33"/>
      <c r="O271" s="34" t="str">
        <f ca="1">IF(E271="","",IF(L271="","",MAX(0,INT($B$1)-INT(L271))))</f>
        <v/>
      </c>
      <c r="P271" s="26"/>
      <c r="Q271" s="26"/>
      <c r="R271" s="26"/>
    </row>
  </sheetData>
  <mergeCells count="1">
    <mergeCell ref="A2:R2"/>
  </mergeCells>
  <conditionalFormatting sqref="E1">
    <cfRule type="cellIs" dxfId="0" priority="6" operator="greaterThan">
      <formula>1</formula>
    </cfRule>
  </conditionalFormatting>
  <conditionalFormatting sqref="N1">
    <cfRule type="cellIs" dxfId="0" priority="7" operator="greaterThan">
      <formula>0</formula>
    </cfRule>
  </conditionalFormatting>
  <conditionalFormatting sqref="A5:A271">
    <cfRule type="expression" dxfId="1" priority="5">
      <formula>$A5="▶"</formula>
    </cfRule>
  </conditionalFormatting>
  <conditionalFormatting sqref="B5:B271">
    <cfRule type="expression" dxfId="2" priority="8">
      <formula>LEFT(B5,1)="1"</formula>
    </cfRule>
    <cfRule type="expression" dxfId="3" priority="9">
      <formula>LEFT(B5,1)="2"</formula>
    </cfRule>
    <cfRule type="expression" dxfId="4" priority="10">
      <formula>LEFT(B5,1)="3"</formula>
    </cfRule>
    <cfRule type="expression" dxfId="5" priority="11">
      <formula>LEFT(B5,1)="4"</formula>
    </cfRule>
  </conditionalFormatting>
  <conditionalFormatting sqref="F5:F271">
    <cfRule type="expression" dxfId="6" priority="17">
      <formula>F5="等待他人"</formula>
    </cfRule>
    <cfRule type="expression" dxfId="7" priority="18">
      <formula>F5="受阻"</formula>
    </cfRule>
    <cfRule type="expression" dxfId="8" priority="19">
      <formula>OR(F5="已完成",F5="已取消")</formula>
    </cfRule>
    <cfRule type="expression" dxfId="5" priority="20">
      <formula>F5="已移交"</formula>
    </cfRule>
  </conditionalFormatting>
  <conditionalFormatting sqref="M5:M271">
    <cfRule type="expression" dxfId="9" priority="4">
      <formula>AND($E5&lt;&gt;"",$F5="等待他人",$M5="")</formula>
    </cfRule>
  </conditionalFormatting>
  <conditionalFormatting sqref="M5:M471">
    <cfRule type="expression" dxfId="10" priority="13">
      <formula>AND(ISNUMBER(M5),OR(MOD(M5,1)=0,ABS(MOD(M5,1)-TIME(8,30,0))&lt;1/86400))</formula>
    </cfRule>
    <cfRule type="expression" dxfId="11" priority="14">
      <formula>AND(ISNUMBER(M5),ABS(MOD(M5,1)-TIME(14,30,0))&lt;1/86400)</formula>
    </cfRule>
  </conditionalFormatting>
  <conditionalFormatting sqref="N5:N271">
    <cfRule type="expression" dxfId="12" priority="12">
      <formula>AND($E5&lt;&gt;"",$F5&lt;&gt;"已完成",$F5&lt;&gt;"已取消",ISNUMBER($N5),IF(MOD($N5,1)=0,INT($N5)+下拉列表!$H$5,$N5)&lt;=$B$1)</formula>
    </cfRule>
  </conditionalFormatting>
  <conditionalFormatting sqref="N5:N471">
    <cfRule type="expression" dxfId="12" priority="21">
      <formula>AND($E5&lt;&gt;"",$F5&lt;&gt;"已完成",$F5&lt;&gt;"已取消",$F5&lt;&gt;"已移交",ISNUMBER($N5),IF(MOD($N5,1)=0,INT($N5)+下拉列表!$H$5,$N5)&lt;=$B$1)</formula>
    </cfRule>
    <cfRule type="expression" dxfId="13" priority="22">
      <formula>AND(ISNUMBER(N5),ABS(MOD(N5,1)-TIME(12,0,0))&lt;1/86400)</formula>
    </cfRule>
    <cfRule type="expression" dxfId="14" priority="23">
      <formula>AND(ISNUMBER(N5),OR(MOD(N5,1)=0,ABS(MOD(N5,1)-TIME(17,30,0))&lt;1/86400))</formula>
    </cfRule>
  </conditionalFormatting>
  <dataValidations count="8">
    <dataValidation type="list" allowBlank="1" showInputMessage="1" showErrorMessage="1" errorTitle="请选择下拉项" error="该字段采用结构化枚举，请从下拉列表中选择。" promptTitle="当前任务" prompt="仅当前正在处理的事项标记为 ▶。理论上同时只保留一个。" sqref="A5 A6 A7 A10 A8:A9 A11:A271">
      <formula1>下拉列表!$E$2:$E$2</formula1>
    </dataValidation>
    <dataValidation type="list" allowBlank="1" showInputMessage="1" showErrorMessage="1" errorTitle="请选择下拉项" error="该字段采用结构化枚举，请从下拉列表中选择。" promptTitle="事项类型" prompt="从统一事项类型中选择；分类用于后续沉淀项目 Checklist。" sqref="D5 D6 D7 D10 D8:D9 D11:D271">
      <formula1>下拉列表!$A$2:$A$17</formula1>
    </dataValidation>
    <dataValidation type="list" allowBlank="1" showInputMessage="1" showErrorMessage="1" errorTitle="请选择下拉项" error="该字段采用结构化枚举，请从下拉列表中选择。" promptTitle="状态" prompt="只描述事项当前状态。等待他人时，请同时设置“下一关注时间”。" sqref="F5 F6 F7 F10 F8:F9 F11:F271">
      <formula1>下拉列表!$B$2:$B$8</formula1>
    </dataValidation>
    <dataValidation type="custom" allowBlank="1" showInputMessage="1" promptTitle="定位入口" prompt="写“从哪里继续进入这件事”。例如：XX群 8/28 关键词“拓扑图”；共享盘/项目A/03_建设；工单#12345；系统菜单：资源申请。只写足以重新找到上下文的信息即可。" sqref="J5 J6 J7 J10 J8:J9 J11:J271">
      <formula1>TRUE</formula1>
    </dataValidation>
    <dataValidation type="list" allowBlank="1" showInputMessage="1" promptTitle="加速因素" prompt="可选择一个常用标签；多个因素请手工用｜分隔，例如：领导DDL｜阻塞。" sqref="Q5 Q6 Q7 Q10 Q8:Q9 Q11:Q271">
      <formula1>下拉列表!$D$2:$D$5</formula1>
    </dataValidation>
    <dataValidation type="custom" allowBlank="1" showInputMessage="1" promptTitle="下一关注时间" prompt="只填日期=当天上午开始关注（08:30）；08:30显示“上午”，14:30显示“下午”；其他明确时点直接填具体时间。" sqref="M5 M6 M7 M10 M8:M9 M11:M271">
      <formula1>TRUE</formula1>
    </dataValidation>
    <dataValidation type="custom" allowBlank="1" showInputMessage="1" promptTitle="截止时间" prompt="只填日期=当天前（17:30）；12:00显示“上午前”，17:30显示“日前”；其他明确时点直接填具体时间。" sqref="N5 N6 N7 N10 N8:N9 N11:N271">
      <formula1>TRUE</formula1>
    </dataValidation>
    <dataValidation type="list" allowBlank="1" showInputMessage="1" showErrorMessage="1" errorTitle="请选择下拉项" error="该字段采用结构化枚举，请从下拉列表中选择。" promptTitle="人工置顶" prompt="仅在自动关注级别不符合实际判断时使用，平时留空。" sqref="R5 R6 R7 R10 R8:R9 R11:R271">
      <formula1>下拉列表!$C$2:$C$3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0"/>
  <sheetViews>
    <sheetView workbookViewId="0">
      <selection activeCell="A1" sqref="A1"/>
    </sheetView>
  </sheetViews>
  <sheetFormatPr defaultColWidth="9" defaultRowHeight="14.25"/>
  <cols>
    <col min="1" max="1" width="13" customWidth="1"/>
    <col min="2" max="3" width="14" customWidth="1"/>
    <col min="4" max="4" width="28" customWidth="1"/>
    <col min="5" max="5" width="50" customWidth="1"/>
    <col min="6" max="6" width="13" customWidth="1"/>
    <col min="7" max="7" width="16" customWidth="1"/>
    <col min="8" max="8" width="34" customWidth="1"/>
    <col min="9" max="9" width="24" customWidth="1"/>
  </cols>
  <sheetData>
    <row r="1" ht="28" customHeight="1" spans="1:9">
      <c r="A1" s="13" t="s">
        <v>54</v>
      </c>
      <c r="B1" s="14" t="s">
        <v>55</v>
      </c>
      <c r="C1" s="14" t="s">
        <v>7</v>
      </c>
      <c r="D1" s="14" t="s">
        <v>9</v>
      </c>
      <c r="E1" s="14" t="s">
        <v>56</v>
      </c>
      <c r="F1" s="14" t="s">
        <v>57</v>
      </c>
      <c r="G1" s="14" t="s">
        <v>58</v>
      </c>
      <c r="H1" s="14" t="s">
        <v>59</v>
      </c>
      <c r="I1" s="16" t="s">
        <v>60</v>
      </c>
    </row>
    <row r="2" ht="16.5" spans="1:9">
      <c r="A2" s="15"/>
      <c r="B2" s="12"/>
      <c r="C2" s="12"/>
      <c r="D2" s="12"/>
      <c r="E2" s="12"/>
      <c r="F2" s="12"/>
      <c r="G2" s="12"/>
      <c r="H2" s="12"/>
      <c r="I2" s="12"/>
    </row>
    <row r="3" ht="16.5" spans="1:9">
      <c r="A3" s="15"/>
      <c r="B3" s="12"/>
      <c r="C3" s="12"/>
      <c r="D3" s="12"/>
      <c r="E3" s="12"/>
      <c r="F3" s="12"/>
      <c r="G3" s="12"/>
      <c r="H3" s="12"/>
      <c r="I3" s="12"/>
    </row>
    <row r="4" ht="16.5" spans="1:9">
      <c r="A4" s="15"/>
      <c r="B4" s="12"/>
      <c r="C4" s="12"/>
      <c r="D4" s="12"/>
      <c r="E4" s="12"/>
      <c r="F4" s="12"/>
      <c r="G4" s="12"/>
      <c r="H4" s="12"/>
      <c r="I4" s="12"/>
    </row>
    <row r="5" ht="16.5" spans="1:9">
      <c r="A5" s="15"/>
      <c r="B5" s="12"/>
      <c r="C5" s="12"/>
      <c r="D5" s="12"/>
      <c r="E5" s="12"/>
      <c r="F5" s="12"/>
      <c r="G5" s="12"/>
      <c r="H5" s="12"/>
      <c r="I5" s="12"/>
    </row>
    <row r="6" ht="16.5" spans="1:9">
      <c r="A6" s="15"/>
      <c r="B6" s="12"/>
      <c r="C6" s="12"/>
      <c r="D6" s="12"/>
      <c r="E6" s="12"/>
      <c r="F6" s="12"/>
      <c r="G6" s="12"/>
      <c r="H6" s="12"/>
      <c r="I6" s="12"/>
    </row>
    <row r="7" ht="16.5" spans="1:9">
      <c r="A7" s="15"/>
      <c r="B7" s="12"/>
      <c r="C7" s="12"/>
      <c r="D7" s="12"/>
      <c r="E7" s="12"/>
      <c r="F7" s="12"/>
      <c r="G7" s="12"/>
      <c r="H7" s="12"/>
      <c r="I7" s="12"/>
    </row>
    <row r="8" ht="16.5" spans="1:9">
      <c r="A8" s="15"/>
      <c r="B8" s="12"/>
      <c r="C8" s="12"/>
      <c r="D8" s="12"/>
      <c r="E8" s="12"/>
      <c r="F8" s="12"/>
      <c r="G8" s="12"/>
      <c r="H8" s="12"/>
      <c r="I8" s="12"/>
    </row>
    <row r="9" ht="16.5" spans="1:9">
      <c r="A9" s="15"/>
      <c r="B9" s="12"/>
      <c r="C9" s="12"/>
      <c r="D9" s="12"/>
      <c r="E9" s="12"/>
      <c r="F9" s="12"/>
      <c r="G9" s="12"/>
      <c r="H9" s="12"/>
      <c r="I9" s="12"/>
    </row>
    <row r="10" ht="16.5" spans="1:9">
      <c r="A10" s="15"/>
      <c r="B10" s="12"/>
      <c r="C10" s="12"/>
      <c r="D10" s="12"/>
      <c r="E10" s="12"/>
      <c r="F10" s="12"/>
      <c r="G10" s="12"/>
      <c r="H10" s="12"/>
      <c r="I10" s="12"/>
    </row>
    <row r="11" ht="16.5" spans="1:9">
      <c r="A11" s="15"/>
      <c r="B11" s="12"/>
      <c r="C11" s="12"/>
      <c r="D11" s="12"/>
      <c r="E11" s="12"/>
      <c r="F11" s="12"/>
      <c r="G11" s="12"/>
      <c r="H11" s="12"/>
      <c r="I11" s="12"/>
    </row>
    <row r="12" ht="16.5" spans="1:9">
      <c r="A12" s="15"/>
      <c r="B12" s="12"/>
      <c r="C12" s="12"/>
      <c r="D12" s="12"/>
      <c r="E12" s="12"/>
      <c r="F12" s="12"/>
      <c r="G12" s="12"/>
      <c r="H12" s="12"/>
      <c r="I12" s="12"/>
    </row>
    <row r="13" ht="16.5" spans="1:9">
      <c r="A13" s="15"/>
      <c r="B13" s="12"/>
      <c r="C13" s="12"/>
      <c r="D13" s="12"/>
      <c r="E13" s="12"/>
      <c r="F13" s="12"/>
      <c r="G13" s="12"/>
      <c r="H13" s="12"/>
      <c r="I13" s="12"/>
    </row>
    <row r="14" ht="16.5" spans="1:9">
      <c r="A14" s="15"/>
      <c r="B14" s="12"/>
      <c r="C14" s="12"/>
      <c r="D14" s="12"/>
      <c r="E14" s="12"/>
      <c r="F14" s="12"/>
      <c r="G14" s="12"/>
      <c r="H14" s="12"/>
      <c r="I14" s="12"/>
    </row>
    <row r="15" ht="16.5" spans="1:9">
      <c r="A15" s="15"/>
      <c r="B15" s="12"/>
      <c r="C15" s="12"/>
      <c r="D15" s="12"/>
      <c r="E15" s="12"/>
      <c r="F15" s="12"/>
      <c r="G15" s="12"/>
      <c r="H15" s="12"/>
      <c r="I15" s="12"/>
    </row>
    <row r="16" ht="16.5" spans="1:9">
      <c r="A16" s="15"/>
      <c r="B16" s="12"/>
      <c r="C16" s="12"/>
      <c r="D16" s="12"/>
      <c r="E16" s="12"/>
      <c r="F16" s="12"/>
      <c r="G16" s="12"/>
      <c r="H16" s="12"/>
      <c r="I16" s="12"/>
    </row>
    <row r="17" ht="16.5" spans="1:9">
      <c r="A17" s="15"/>
      <c r="B17" s="12"/>
      <c r="C17" s="12"/>
      <c r="D17" s="12"/>
      <c r="E17" s="12"/>
      <c r="F17" s="12"/>
      <c r="G17" s="12"/>
      <c r="H17" s="12"/>
      <c r="I17" s="12"/>
    </row>
    <row r="18" ht="16.5" spans="1:9">
      <c r="A18" s="15"/>
      <c r="B18" s="12"/>
      <c r="C18" s="12"/>
      <c r="D18" s="12"/>
      <c r="E18" s="12"/>
      <c r="F18" s="12"/>
      <c r="G18" s="12"/>
      <c r="H18" s="12"/>
      <c r="I18" s="12"/>
    </row>
    <row r="19" ht="16.5" spans="1:9">
      <c r="A19" s="15"/>
      <c r="B19" s="12"/>
      <c r="C19" s="12"/>
      <c r="D19" s="12"/>
      <c r="E19" s="12"/>
      <c r="F19" s="12"/>
      <c r="G19" s="12"/>
      <c r="H19" s="12"/>
      <c r="I19" s="12"/>
    </row>
    <row r="20" ht="16.5" spans="1:9">
      <c r="A20" s="15"/>
      <c r="B20" s="12"/>
      <c r="C20" s="12"/>
      <c r="D20" s="12"/>
      <c r="E20" s="12"/>
      <c r="F20" s="12"/>
      <c r="G20" s="12"/>
      <c r="H20" s="12"/>
      <c r="I20" s="12"/>
    </row>
    <row r="21" ht="16.5" spans="1:9">
      <c r="A21" s="15"/>
      <c r="B21" s="12"/>
      <c r="C21" s="12"/>
      <c r="D21" s="12"/>
      <c r="E21" s="12"/>
      <c r="F21" s="12"/>
      <c r="G21" s="12"/>
      <c r="H21" s="12"/>
      <c r="I21" s="12"/>
    </row>
    <row r="22" ht="16.5" spans="1:9">
      <c r="A22" s="15"/>
      <c r="B22" s="12"/>
      <c r="C22" s="12"/>
      <c r="D22" s="12"/>
      <c r="E22" s="12"/>
      <c r="F22" s="12"/>
      <c r="G22" s="12"/>
      <c r="H22" s="12"/>
      <c r="I22" s="12"/>
    </row>
    <row r="23" ht="16.5" spans="1:9">
      <c r="A23" s="15"/>
      <c r="B23" s="12"/>
      <c r="C23" s="12"/>
      <c r="D23" s="12"/>
      <c r="E23" s="12"/>
      <c r="F23" s="12"/>
      <c r="G23" s="12"/>
      <c r="H23" s="12"/>
      <c r="I23" s="12"/>
    </row>
    <row r="24" ht="16.5" spans="1:9">
      <c r="A24" s="15"/>
      <c r="B24" s="12"/>
      <c r="C24" s="12"/>
      <c r="D24" s="12"/>
      <c r="E24" s="12"/>
      <c r="F24" s="12"/>
      <c r="G24" s="12"/>
      <c r="H24" s="12"/>
      <c r="I24" s="12"/>
    </row>
    <row r="25" ht="16.5" spans="1:9">
      <c r="A25" s="15"/>
      <c r="B25" s="12"/>
      <c r="C25" s="12"/>
      <c r="D25" s="12"/>
      <c r="E25" s="12"/>
      <c r="F25" s="12"/>
      <c r="G25" s="12"/>
      <c r="H25" s="12"/>
      <c r="I25" s="12"/>
    </row>
    <row r="26" ht="16.5" spans="1:9">
      <c r="A26" s="15"/>
      <c r="B26" s="12"/>
      <c r="C26" s="12"/>
      <c r="D26" s="12"/>
      <c r="E26" s="12"/>
      <c r="F26" s="12"/>
      <c r="G26" s="12"/>
      <c r="H26" s="12"/>
      <c r="I26" s="12"/>
    </row>
    <row r="27" ht="16.5" spans="1:9">
      <c r="A27" s="15"/>
      <c r="B27" s="12"/>
      <c r="C27" s="12"/>
      <c r="D27" s="12"/>
      <c r="E27" s="12"/>
      <c r="F27" s="12"/>
      <c r="G27" s="12"/>
      <c r="H27" s="12"/>
      <c r="I27" s="12"/>
    </row>
    <row r="28" ht="16.5" spans="1:9">
      <c r="A28" s="15"/>
      <c r="B28" s="12"/>
      <c r="C28" s="12"/>
      <c r="D28" s="12"/>
      <c r="E28" s="12"/>
      <c r="F28" s="12"/>
      <c r="G28" s="12"/>
      <c r="H28" s="12"/>
      <c r="I28" s="12"/>
    </row>
    <row r="29" ht="16.5" spans="1:9">
      <c r="A29" s="15"/>
      <c r="B29" s="12"/>
      <c r="C29" s="12"/>
      <c r="D29" s="12"/>
      <c r="E29" s="12"/>
      <c r="F29" s="12"/>
      <c r="G29" s="12"/>
      <c r="H29" s="12"/>
      <c r="I29" s="12"/>
    </row>
    <row r="30" ht="16.5" spans="1:9">
      <c r="A30" s="15"/>
      <c r="B30" s="12"/>
      <c r="C30" s="12"/>
      <c r="D30" s="12"/>
      <c r="E30" s="12"/>
      <c r="F30" s="12"/>
      <c r="G30" s="12"/>
      <c r="H30" s="12"/>
      <c r="I30" s="12"/>
    </row>
    <row r="31" ht="16.5" spans="1:9">
      <c r="A31" s="15"/>
      <c r="B31" s="12"/>
      <c r="C31" s="12"/>
      <c r="D31" s="12"/>
      <c r="E31" s="12"/>
      <c r="F31" s="12"/>
      <c r="G31" s="12"/>
      <c r="H31" s="12"/>
      <c r="I31" s="12"/>
    </row>
    <row r="32" ht="16.5" spans="1:9">
      <c r="A32" s="15"/>
      <c r="B32" s="12"/>
      <c r="C32" s="12"/>
      <c r="D32" s="12"/>
      <c r="E32" s="12"/>
      <c r="F32" s="12"/>
      <c r="G32" s="12"/>
      <c r="H32" s="12"/>
      <c r="I32" s="12"/>
    </row>
    <row r="33" ht="16.5" spans="1:9">
      <c r="A33" s="15"/>
      <c r="B33" s="12"/>
      <c r="C33" s="12"/>
      <c r="D33" s="12"/>
      <c r="E33" s="12"/>
      <c r="F33" s="12"/>
      <c r="G33" s="12"/>
      <c r="H33" s="12"/>
      <c r="I33" s="12"/>
    </row>
    <row r="34" ht="16.5" spans="1:9">
      <c r="A34" s="15"/>
      <c r="B34" s="12"/>
      <c r="C34" s="12"/>
      <c r="D34" s="12"/>
      <c r="E34" s="12"/>
      <c r="F34" s="12"/>
      <c r="G34" s="12"/>
      <c r="H34" s="12"/>
      <c r="I34" s="12"/>
    </row>
    <row r="35" ht="16.5" spans="1:9">
      <c r="A35" s="15"/>
      <c r="B35" s="12"/>
      <c r="C35" s="12"/>
      <c r="D35" s="12"/>
      <c r="E35" s="12"/>
      <c r="F35" s="12"/>
      <c r="G35" s="12"/>
      <c r="H35" s="12"/>
      <c r="I35" s="12"/>
    </row>
    <row r="36" ht="16.5" spans="1:9">
      <c r="A36" s="15"/>
      <c r="B36" s="12"/>
      <c r="C36" s="12"/>
      <c r="D36" s="12"/>
      <c r="E36" s="12"/>
      <c r="F36" s="12"/>
      <c r="G36" s="12"/>
      <c r="H36" s="12"/>
      <c r="I36" s="12"/>
    </row>
    <row r="37" ht="16.5" spans="1:9">
      <c r="A37" s="15"/>
      <c r="B37" s="12"/>
      <c r="C37" s="12"/>
      <c r="D37" s="12"/>
      <c r="E37" s="12"/>
      <c r="F37" s="12"/>
      <c r="G37" s="12"/>
      <c r="H37" s="12"/>
      <c r="I37" s="12"/>
    </row>
    <row r="38" ht="16.5" spans="1:9">
      <c r="A38" s="15"/>
      <c r="B38" s="12"/>
      <c r="C38" s="12"/>
      <c r="D38" s="12"/>
      <c r="E38" s="12"/>
      <c r="F38" s="12"/>
      <c r="G38" s="12"/>
      <c r="H38" s="12"/>
      <c r="I38" s="12"/>
    </row>
    <row r="39" ht="16.5" spans="1:9">
      <c r="A39" s="15"/>
      <c r="B39" s="12"/>
      <c r="C39" s="12"/>
      <c r="D39" s="12"/>
      <c r="E39" s="12"/>
      <c r="F39" s="12"/>
      <c r="G39" s="12"/>
      <c r="H39" s="12"/>
      <c r="I39" s="12"/>
    </row>
    <row r="40" ht="16.5" spans="1:9">
      <c r="A40" s="15"/>
      <c r="B40" s="12"/>
      <c r="C40" s="12"/>
      <c r="D40" s="12"/>
      <c r="E40" s="12"/>
      <c r="F40" s="12"/>
      <c r="G40" s="12"/>
      <c r="H40" s="12"/>
      <c r="I40" s="12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  <row r="81" spans="1:9">
      <c r="A81" s="4"/>
      <c r="B81" s="4"/>
      <c r="C81" s="4"/>
      <c r="D81" s="4"/>
      <c r="E81" s="4"/>
      <c r="F81" s="4"/>
      <c r="G81" s="4"/>
      <c r="H81" s="4"/>
      <c r="I81" s="4"/>
    </row>
    <row r="82" spans="1:9">
      <c r="A82" s="4"/>
      <c r="B82" s="4"/>
      <c r="C82" s="4"/>
      <c r="D82" s="4"/>
      <c r="E82" s="4"/>
      <c r="F82" s="4"/>
      <c r="G82" s="4"/>
      <c r="H82" s="4"/>
      <c r="I82" s="4"/>
    </row>
    <row r="83" spans="1:9">
      <c r="A83" s="4"/>
      <c r="B83" s="4"/>
      <c r="C83" s="4"/>
      <c r="D83" s="4"/>
      <c r="E83" s="4"/>
      <c r="F83" s="4"/>
      <c r="G83" s="4"/>
      <c r="H83" s="4"/>
      <c r="I83" s="4"/>
    </row>
    <row r="84" spans="1:9">
      <c r="A84" s="4"/>
      <c r="B84" s="4"/>
      <c r="C84" s="4"/>
      <c r="D84" s="4"/>
      <c r="E84" s="4"/>
      <c r="F84" s="4"/>
      <c r="G84" s="4"/>
      <c r="H84" s="4"/>
      <c r="I84" s="4"/>
    </row>
    <row r="85" spans="1:9">
      <c r="A85" s="4"/>
      <c r="B85" s="4"/>
      <c r="C85" s="4"/>
      <c r="D85" s="4"/>
      <c r="E85" s="4"/>
      <c r="F85" s="4"/>
      <c r="G85" s="4"/>
      <c r="H85" s="4"/>
      <c r="I85" s="4"/>
    </row>
    <row r="86" spans="1:9">
      <c r="A86" s="4"/>
      <c r="B86" s="4"/>
      <c r="C86" s="4"/>
      <c r="D86" s="4"/>
      <c r="E86" s="4"/>
      <c r="F86" s="4"/>
      <c r="G86" s="4"/>
      <c r="H86" s="4"/>
      <c r="I86" s="4"/>
    </row>
    <row r="87" spans="1:9">
      <c r="A87" s="4"/>
      <c r="B87" s="4"/>
      <c r="C87" s="4"/>
      <c r="D87" s="4"/>
      <c r="E87" s="4"/>
      <c r="F87" s="4"/>
      <c r="G87" s="4"/>
      <c r="H87" s="4"/>
      <c r="I87" s="4"/>
    </row>
    <row r="88" spans="1:9">
      <c r="A88" s="4"/>
      <c r="B88" s="4"/>
      <c r="C88" s="4"/>
      <c r="D88" s="4"/>
      <c r="E88" s="4"/>
      <c r="F88" s="4"/>
      <c r="G88" s="4"/>
      <c r="H88" s="4"/>
      <c r="I88" s="4"/>
    </row>
    <row r="89" spans="1:9">
      <c r="A89" s="4"/>
      <c r="B89" s="4"/>
      <c r="C89" s="4"/>
      <c r="D89" s="4"/>
      <c r="E89" s="4"/>
      <c r="F89" s="4"/>
      <c r="G89" s="4"/>
      <c r="H89" s="4"/>
      <c r="I89" s="4"/>
    </row>
    <row r="90" spans="1:9">
      <c r="A90" s="4"/>
      <c r="B90" s="4"/>
      <c r="C90" s="4"/>
      <c r="D90" s="4"/>
      <c r="E90" s="4"/>
      <c r="F90" s="4"/>
      <c r="G90" s="4"/>
      <c r="H90" s="4"/>
      <c r="I90" s="4"/>
    </row>
    <row r="91" spans="1:9">
      <c r="A91" s="4"/>
      <c r="B91" s="4"/>
      <c r="C91" s="4"/>
      <c r="D91" s="4"/>
      <c r="E91" s="4"/>
      <c r="F91" s="4"/>
      <c r="G91" s="4"/>
      <c r="H91" s="4"/>
      <c r="I91" s="4"/>
    </row>
    <row r="92" spans="1:9">
      <c r="A92" s="4"/>
      <c r="B92" s="4"/>
      <c r="C92" s="4"/>
      <c r="D92" s="4"/>
      <c r="E92" s="4"/>
      <c r="F92" s="4"/>
      <c r="G92" s="4"/>
      <c r="H92" s="4"/>
      <c r="I92" s="4"/>
    </row>
    <row r="93" spans="1:9">
      <c r="A93" s="4"/>
      <c r="B93" s="4"/>
      <c r="C93" s="4"/>
      <c r="D93" s="4"/>
      <c r="E93" s="4"/>
      <c r="F93" s="4"/>
      <c r="G93" s="4"/>
      <c r="H93" s="4"/>
      <c r="I93" s="4"/>
    </row>
    <row r="94" spans="1:9">
      <c r="A94" s="4"/>
      <c r="B94" s="4"/>
      <c r="C94" s="4"/>
      <c r="D94" s="4"/>
      <c r="E94" s="4"/>
      <c r="F94" s="4"/>
      <c r="G94" s="4"/>
      <c r="H94" s="4"/>
      <c r="I94" s="4"/>
    </row>
    <row r="95" spans="1:9">
      <c r="A95" s="4"/>
      <c r="B95" s="4"/>
      <c r="C95" s="4"/>
      <c r="D95" s="4"/>
      <c r="E95" s="4"/>
      <c r="F95" s="4"/>
      <c r="G95" s="4"/>
      <c r="H95" s="4"/>
      <c r="I95" s="4"/>
    </row>
    <row r="96" spans="1:9">
      <c r="A96" s="4"/>
      <c r="B96" s="4"/>
      <c r="C96" s="4"/>
      <c r="D96" s="4"/>
      <c r="E96" s="4"/>
      <c r="F96" s="4"/>
      <c r="G96" s="4"/>
      <c r="H96" s="4"/>
      <c r="I96" s="4"/>
    </row>
    <row r="97" spans="1:9">
      <c r="A97" s="4"/>
      <c r="B97" s="4"/>
      <c r="C97" s="4"/>
      <c r="D97" s="4"/>
      <c r="E97" s="4"/>
      <c r="F97" s="4"/>
      <c r="G97" s="4"/>
      <c r="H97" s="4"/>
      <c r="I97" s="4"/>
    </row>
    <row r="98" spans="1:9">
      <c r="A98" s="4"/>
      <c r="B98" s="4"/>
      <c r="C98" s="4"/>
      <c r="D98" s="4"/>
      <c r="E98" s="4"/>
      <c r="F98" s="4"/>
      <c r="G98" s="4"/>
      <c r="H98" s="4"/>
      <c r="I98" s="4"/>
    </row>
    <row r="99" spans="1:9">
      <c r="A99" s="4"/>
      <c r="B99" s="4"/>
      <c r="C99" s="4"/>
      <c r="D99" s="4"/>
      <c r="E99" s="4"/>
      <c r="F99" s="4"/>
      <c r="G99" s="4"/>
      <c r="H99" s="4"/>
      <c r="I99" s="4"/>
    </row>
    <row r="100" spans="1:9">
      <c r="A100" s="4"/>
      <c r="B100" s="4"/>
      <c r="C100" s="4"/>
      <c r="D100" s="4"/>
      <c r="E100" s="4"/>
      <c r="F100" s="4"/>
      <c r="G100" s="4"/>
      <c r="H100" s="4"/>
      <c r="I100" s="4"/>
    </row>
    <row r="101" spans="1:9">
      <c r="A101" s="4"/>
      <c r="B101" s="4"/>
      <c r="C101" s="4"/>
      <c r="D101" s="4"/>
      <c r="E101" s="4"/>
      <c r="F101" s="4"/>
      <c r="G101" s="4"/>
      <c r="H101" s="4"/>
      <c r="I101" s="4"/>
    </row>
    <row r="102" spans="1:9">
      <c r="A102" s="4"/>
      <c r="B102" s="4"/>
      <c r="C102" s="4"/>
      <c r="D102" s="4"/>
      <c r="E102" s="4"/>
      <c r="F102" s="4"/>
      <c r="G102" s="4"/>
      <c r="H102" s="4"/>
      <c r="I102" s="4"/>
    </row>
    <row r="103" spans="1:9">
      <c r="A103" s="4"/>
      <c r="B103" s="4"/>
      <c r="C103" s="4"/>
      <c r="D103" s="4"/>
      <c r="E103" s="4"/>
      <c r="F103" s="4"/>
      <c r="G103" s="4"/>
      <c r="H103" s="4"/>
      <c r="I103" s="4"/>
    </row>
    <row r="104" spans="1:9">
      <c r="A104" s="4"/>
      <c r="B104" s="4"/>
      <c r="C104" s="4"/>
      <c r="D104" s="4"/>
      <c r="E104" s="4"/>
      <c r="F104" s="4"/>
      <c r="G104" s="4"/>
      <c r="H104" s="4"/>
      <c r="I104" s="4"/>
    </row>
    <row r="105" spans="1:9">
      <c r="A105" s="4"/>
      <c r="B105" s="4"/>
      <c r="C105" s="4"/>
      <c r="D105" s="4"/>
      <c r="E105" s="4"/>
      <c r="F105" s="4"/>
      <c r="G105" s="4"/>
      <c r="H105" s="4"/>
      <c r="I105" s="4"/>
    </row>
    <row r="106" spans="1:9">
      <c r="A106" s="4"/>
      <c r="B106" s="4"/>
      <c r="C106" s="4"/>
      <c r="D106" s="4"/>
      <c r="E106" s="4"/>
      <c r="F106" s="4"/>
      <c r="G106" s="4"/>
      <c r="H106" s="4"/>
      <c r="I106" s="4"/>
    </row>
    <row r="107" spans="1:9">
      <c r="A107" s="4"/>
      <c r="B107" s="4"/>
      <c r="C107" s="4"/>
      <c r="D107" s="4"/>
      <c r="E107" s="4"/>
      <c r="F107" s="4"/>
      <c r="G107" s="4"/>
      <c r="H107" s="4"/>
      <c r="I107" s="4"/>
    </row>
    <row r="108" spans="1:9">
      <c r="A108" s="4"/>
      <c r="B108" s="4"/>
      <c r="C108" s="4"/>
      <c r="D108" s="4"/>
      <c r="E108" s="4"/>
      <c r="F108" s="4"/>
      <c r="G108" s="4"/>
      <c r="H108" s="4"/>
      <c r="I108" s="4"/>
    </row>
    <row r="109" spans="1:9">
      <c r="A109" s="4"/>
      <c r="B109" s="4"/>
      <c r="C109" s="4"/>
      <c r="D109" s="4"/>
      <c r="E109" s="4"/>
      <c r="F109" s="4"/>
      <c r="G109" s="4"/>
      <c r="H109" s="4"/>
      <c r="I109" s="4"/>
    </row>
    <row r="110" spans="1:9">
      <c r="A110" s="4"/>
      <c r="B110" s="4"/>
      <c r="C110" s="4"/>
      <c r="D110" s="4"/>
      <c r="E110" s="4"/>
      <c r="F110" s="4"/>
      <c r="G110" s="4"/>
      <c r="H110" s="4"/>
      <c r="I110" s="4"/>
    </row>
    <row r="111" spans="1:9">
      <c r="A111" s="4"/>
      <c r="B111" s="4"/>
      <c r="C111" s="4"/>
      <c r="D111" s="4"/>
      <c r="E111" s="4"/>
      <c r="F111" s="4"/>
      <c r="G111" s="4"/>
      <c r="H111" s="4"/>
      <c r="I111" s="4"/>
    </row>
    <row r="112" spans="1:9">
      <c r="A112" s="4"/>
      <c r="B112" s="4"/>
      <c r="C112" s="4"/>
      <c r="D112" s="4"/>
      <c r="E112" s="4"/>
      <c r="F112" s="4"/>
      <c r="G112" s="4"/>
      <c r="H112" s="4"/>
      <c r="I112" s="4"/>
    </row>
    <row r="113" spans="1:9">
      <c r="A113" s="4"/>
      <c r="B113" s="4"/>
      <c r="C113" s="4"/>
      <c r="D113" s="4"/>
      <c r="E113" s="4"/>
      <c r="F113" s="4"/>
      <c r="G113" s="4"/>
      <c r="H113" s="4"/>
      <c r="I113" s="4"/>
    </row>
    <row r="114" spans="1:9">
      <c r="A114" s="4"/>
      <c r="B114" s="4"/>
      <c r="C114" s="4"/>
      <c r="D114" s="4"/>
      <c r="E114" s="4"/>
      <c r="F114" s="4"/>
      <c r="G114" s="4"/>
      <c r="H114" s="4"/>
      <c r="I114" s="4"/>
    </row>
    <row r="115" spans="1:9">
      <c r="A115" s="4"/>
      <c r="B115" s="4"/>
      <c r="C115" s="4"/>
      <c r="D115" s="4"/>
      <c r="E115" s="4"/>
      <c r="F115" s="4"/>
      <c r="G115" s="4"/>
      <c r="H115" s="4"/>
      <c r="I115" s="4"/>
    </row>
    <row r="116" spans="1:9">
      <c r="A116" s="4"/>
      <c r="B116" s="4"/>
      <c r="C116" s="4"/>
      <c r="D116" s="4"/>
      <c r="E116" s="4"/>
      <c r="F116" s="4"/>
      <c r="G116" s="4"/>
      <c r="H116" s="4"/>
      <c r="I116" s="4"/>
    </row>
    <row r="117" spans="1:9">
      <c r="A117" s="4"/>
      <c r="B117" s="4"/>
      <c r="C117" s="4"/>
      <c r="D117" s="4"/>
      <c r="E117" s="4"/>
      <c r="F117" s="4"/>
      <c r="G117" s="4"/>
      <c r="H117" s="4"/>
      <c r="I117" s="4"/>
    </row>
    <row r="118" spans="1:9">
      <c r="A118" s="4"/>
      <c r="B118" s="4"/>
      <c r="C118" s="4"/>
      <c r="D118" s="4"/>
      <c r="E118" s="4"/>
      <c r="F118" s="4"/>
      <c r="G118" s="4"/>
      <c r="H118" s="4"/>
      <c r="I118" s="4"/>
    </row>
    <row r="119" spans="1:9">
      <c r="A119" s="4"/>
      <c r="B119" s="4"/>
      <c r="C119" s="4"/>
      <c r="D119" s="4"/>
      <c r="E119" s="4"/>
      <c r="F119" s="4"/>
      <c r="G119" s="4"/>
      <c r="H119" s="4"/>
      <c r="I119" s="4"/>
    </row>
    <row r="120" spans="1:9">
      <c r="A120" s="4"/>
      <c r="B120" s="4"/>
      <c r="C120" s="4"/>
      <c r="D120" s="4"/>
      <c r="E120" s="4"/>
      <c r="F120" s="4"/>
      <c r="G120" s="4"/>
      <c r="H120" s="4"/>
      <c r="I120" s="4"/>
    </row>
    <row r="121" spans="1:9">
      <c r="A121" s="4"/>
      <c r="B121" s="4"/>
      <c r="C121" s="4"/>
      <c r="D121" s="4"/>
      <c r="E121" s="4"/>
      <c r="F121" s="4"/>
      <c r="G121" s="4"/>
      <c r="H121" s="4"/>
      <c r="I121" s="4"/>
    </row>
    <row r="122" spans="1:9">
      <c r="A122" s="4"/>
      <c r="B122" s="4"/>
      <c r="C122" s="4"/>
      <c r="D122" s="4"/>
      <c r="E122" s="4"/>
      <c r="F122" s="4"/>
      <c r="G122" s="4"/>
      <c r="H122" s="4"/>
      <c r="I122" s="4"/>
    </row>
    <row r="123" spans="1:9">
      <c r="A123" s="4"/>
      <c r="B123" s="4"/>
      <c r="C123" s="4"/>
      <c r="D123" s="4"/>
      <c r="E123" s="4"/>
      <c r="F123" s="4"/>
      <c r="G123" s="4"/>
      <c r="H123" s="4"/>
      <c r="I123" s="4"/>
    </row>
    <row r="124" spans="1:9">
      <c r="A124" s="4"/>
      <c r="B124" s="4"/>
      <c r="C124" s="4"/>
      <c r="D124" s="4"/>
      <c r="E124" s="4"/>
      <c r="F124" s="4"/>
      <c r="G124" s="4"/>
      <c r="H124" s="4"/>
      <c r="I124" s="4"/>
    </row>
    <row r="125" spans="1:9">
      <c r="A125" s="4"/>
      <c r="B125" s="4"/>
      <c r="C125" s="4"/>
      <c r="D125" s="4"/>
      <c r="E125" s="4"/>
      <c r="F125" s="4"/>
      <c r="G125" s="4"/>
      <c r="H125" s="4"/>
      <c r="I125" s="4"/>
    </row>
    <row r="126" spans="1:9">
      <c r="A126" s="4"/>
      <c r="B126" s="4"/>
      <c r="C126" s="4"/>
      <c r="D126" s="4"/>
      <c r="E126" s="4"/>
      <c r="F126" s="4"/>
      <c r="G126" s="4"/>
      <c r="H126" s="4"/>
      <c r="I126" s="4"/>
    </row>
    <row r="127" spans="1:9">
      <c r="A127" s="4"/>
      <c r="B127" s="4"/>
      <c r="C127" s="4"/>
      <c r="D127" s="4"/>
      <c r="E127" s="4"/>
      <c r="F127" s="4"/>
      <c r="G127" s="4"/>
      <c r="H127" s="4"/>
      <c r="I127" s="4"/>
    </row>
    <row r="128" spans="1:9">
      <c r="A128" s="4"/>
      <c r="B128" s="4"/>
      <c r="C128" s="4"/>
      <c r="D128" s="4"/>
      <c r="E128" s="4"/>
      <c r="F128" s="4"/>
      <c r="G128" s="4"/>
      <c r="H128" s="4"/>
      <c r="I128" s="4"/>
    </row>
    <row r="129" spans="1:9">
      <c r="A129" s="4"/>
      <c r="B129" s="4"/>
      <c r="C129" s="4"/>
      <c r="D129" s="4"/>
      <c r="E129" s="4"/>
      <c r="F129" s="4"/>
      <c r="G129" s="4"/>
      <c r="H129" s="4"/>
      <c r="I129" s="4"/>
    </row>
    <row r="130" spans="1:9">
      <c r="A130" s="4"/>
      <c r="B130" s="4"/>
      <c r="C130" s="4"/>
      <c r="D130" s="4"/>
      <c r="E130" s="4"/>
      <c r="F130" s="4"/>
      <c r="G130" s="4"/>
      <c r="H130" s="4"/>
      <c r="I130" s="4"/>
    </row>
    <row r="131" spans="1:9">
      <c r="A131" s="4"/>
      <c r="B131" s="4"/>
      <c r="C131" s="4"/>
      <c r="D131" s="4"/>
      <c r="E131" s="4"/>
      <c r="F131" s="4"/>
      <c r="G131" s="4"/>
      <c r="H131" s="4"/>
      <c r="I131" s="4"/>
    </row>
    <row r="132" spans="1:9">
      <c r="A132" s="4"/>
      <c r="B132" s="4"/>
      <c r="C132" s="4"/>
      <c r="D132" s="4"/>
      <c r="E132" s="4"/>
      <c r="F132" s="4"/>
      <c r="G132" s="4"/>
      <c r="H132" s="4"/>
      <c r="I132" s="4"/>
    </row>
    <row r="133" spans="1:9">
      <c r="A133" s="4"/>
      <c r="B133" s="4"/>
      <c r="C133" s="4"/>
      <c r="D133" s="4"/>
      <c r="E133" s="4"/>
      <c r="F133" s="4"/>
      <c r="G133" s="4"/>
      <c r="H133" s="4"/>
      <c r="I133" s="4"/>
    </row>
    <row r="134" spans="1:9">
      <c r="A134" s="4"/>
      <c r="B134" s="4"/>
      <c r="C134" s="4"/>
      <c r="D134" s="4"/>
      <c r="E134" s="4"/>
      <c r="F134" s="4"/>
      <c r="G134" s="4"/>
      <c r="H134" s="4"/>
      <c r="I134" s="4"/>
    </row>
    <row r="135" spans="1:9">
      <c r="A135" s="4"/>
      <c r="B135" s="4"/>
      <c r="C135" s="4"/>
      <c r="D135" s="4"/>
      <c r="E135" s="4"/>
      <c r="F135" s="4"/>
      <c r="G135" s="4"/>
      <c r="H135" s="4"/>
      <c r="I135" s="4"/>
    </row>
    <row r="136" spans="1:9">
      <c r="A136" s="4"/>
      <c r="B136" s="4"/>
      <c r="C136" s="4"/>
      <c r="D136" s="4"/>
      <c r="E136" s="4"/>
      <c r="F136" s="4"/>
      <c r="G136" s="4"/>
      <c r="H136" s="4"/>
      <c r="I136" s="4"/>
    </row>
    <row r="137" spans="1:9">
      <c r="A137" s="4"/>
      <c r="B137" s="4"/>
      <c r="C137" s="4"/>
      <c r="D137" s="4"/>
      <c r="E137" s="4"/>
      <c r="F137" s="4"/>
      <c r="G137" s="4"/>
      <c r="H137" s="4"/>
      <c r="I137" s="4"/>
    </row>
    <row r="138" spans="1:9">
      <c r="A138" s="4"/>
      <c r="B138" s="4"/>
      <c r="C138" s="4"/>
      <c r="D138" s="4"/>
      <c r="E138" s="4"/>
      <c r="F138" s="4"/>
      <c r="G138" s="4"/>
      <c r="H138" s="4"/>
      <c r="I138" s="4"/>
    </row>
    <row r="139" spans="1:9">
      <c r="A139" s="4"/>
      <c r="B139" s="4"/>
      <c r="C139" s="4"/>
      <c r="D139" s="4"/>
      <c r="E139" s="4"/>
      <c r="F139" s="4"/>
      <c r="G139" s="4"/>
      <c r="H139" s="4"/>
      <c r="I139" s="4"/>
    </row>
    <row r="140" spans="1:9">
      <c r="A140" s="4"/>
      <c r="B140" s="4"/>
      <c r="C140" s="4"/>
      <c r="D140" s="4"/>
      <c r="E140" s="4"/>
      <c r="F140" s="4"/>
      <c r="G140" s="4"/>
      <c r="H140" s="4"/>
      <c r="I140" s="4"/>
    </row>
    <row r="141" spans="1:9">
      <c r="A141" s="4"/>
      <c r="B141" s="4"/>
      <c r="C141" s="4"/>
      <c r="D141" s="4"/>
      <c r="E141" s="4"/>
      <c r="F141" s="4"/>
      <c r="G141" s="4"/>
      <c r="H141" s="4"/>
      <c r="I141" s="4"/>
    </row>
    <row r="142" spans="1:9">
      <c r="A142" s="4"/>
      <c r="B142" s="4"/>
      <c r="C142" s="4"/>
      <c r="D142" s="4"/>
      <c r="E142" s="4"/>
      <c r="F142" s="4"/>
      <c r="G142" s="4"/>
      <c r="H142" s="4"/>
      <c r="I142" s="4"/>
    </row>
    <row r="143" spans="1:9">
      <c r="A143" s="4"/>
      <c r="B143" s="4"/>
      <c r="C143" s="4"/>
      <c r="D143" s="4"/>
      <c r="E143" s="4"/>
      <c r="F143" s="4"/>
      <c r="G143" s="4"/>
      <c r="H143" s="4"/>
      <c r="I143" s="4"/>
    </row>
    <row r="144" spans="1:9">
      <c r="A144" s="4"/>
      <c r="B144" s="4"/>
      <c r="C144" s="4"/>
      <c r="D144" s="4"/>
      <c r="E144" s="4"/>
      <c r="F144" s="4"/>
      <c r="G144" s="4"/>
      <c r="H144" s="4"/>
      <c r="I144" s="4"/>
    </row>
    <row r="145" spans="1:9">
      <c r="A145" s="4"/>
      <c r="B145" s="4"/>
      <c r="C145" s="4"/>
      <c r="D145" s="4"/>
      <c r="E145" s="4"/>
      <c r="F145" s="4"/>
      <c r="G145" s="4"/>
      <c r="H145" s="4"/>
      <c r="I145" s="4"/>
    </row>
    <row r="146" spans="1:9">
      <c r="A146" s="4"/>
      <c r="B146" s="4"/>
      <c r="C146" s="4"/>
      <c r="D146" s="4"/>
      <c r="E146" s="4"/>
      <c r="F146" s="4"/>
      <c r="G146" s="4"/>
      <c r="H146" s="4"/>
      <c r="I146" s="4"/>
    </row>
    <row r="147" spans="1:9">
      <c r="A147" s="4"/>
      <c r="B147" s="4"/>
      <c r="C147" s="4"/>
      <c r="D147" s="4"/>
      <c r="E147" s="4"/>
      <c r="F147" s="4"/>
      <c r="G147" s="4"/>
      <c r="H147" s="4"/>
      <c r="I147" s="4"/>
    </row>
    <row r="148" spans="1:9">
      <c r="A148" s="4"/>
      <c r="B148" s="4"/>
      <c r="C148" s="4"/>
      <c r="D148" s="4"/>
      <c r="E148" s="4"/>
      <c r="F148" s="4"/>
      <c r="G148" s="4"/>
      <c r="H148" s="4"/>
      <c r="I148" s="4"/>
    </row>
    <row r="149" spans="1:9">
      <c r="A149" s="4"/>
      <c r="B149" s="4"/>
      <c r="C149" s="4"/>
      <c r="D149" s="4"/>
      <c r="E149" s="4"/>
      <c r="F149" s="4"/>
      <c r="G149" s="4"/>
      <c r="H149" s="4"/>
      <c r="I149" s="4"/>
    </row>
    <row r="150" spans="1:9">
      <c r="A150" s="4"/>
      <c r="B150" s="4"/>
      <c r="C150" s="4"/>
      <c r="D150" s="4"/>
      <c r="E150" s="4"/>
      <c r="F150" s="4"/>
      <c r="G150" s="4"/>
      <c r="H150" s="4"/>
      <c r="I150" s="4"/>
    </row>
    <row r="151" spans="1:9">
      <c r="A151" s="4"/>
      <c r="B151" s="4"/>
      <c r="C151" s="4"/>
      <c r="D151" s="4"/>
      <c r="E151" s="4"/>
      <c r="F151" s="4"/>
      <c r="G151" s="4"/>
      <c r="H151" s="4"/>
      <c r="I151" s="4"/>
    </row>
    <row r="152" spans="1:9">
      <c r="A152" s="4"/>
      <c r="B152" s="4"/>
      <c r="C152" s="4"/>
      <c r="D152" s="4"/>
      <c r="E152" s="4"/>
      <c r="F152" s="4"/>
      <c r="G152" s="4"/>
      <c r="H152" s="4"/>
      <c r="I152" s="4"/>
    </row>
    <row r="153" spans="1:9">
      <c r="A153" s="4"/>
      <c r="B153" s="4"/>
      <c r="C153" s="4"/>
      <c r="D153" s="4"/>
      <c r="E153" s="4"/>
      <c r="F153" s="4"/>
      <c r="G153" s="4"/>
      <c r="H153" s="4"/>
      <c r="I153" s="4"/>
    </row>
    <row r="154" spans="1:9">
      <c r="A154" s="4"/>
      <c r="B154" s="4"/>
      <c r="C154" s="4"/>
      <c r="D154" s="4"/>
      <c r="E154" s="4"/>
      <c r="F154" s="4"/>
      <c r="G154" s="4"/>
      <c r="H154" s="4"/>
      <c r="I154" s="4"/>
    </row>
    <row r="155" spans="1:9">
      <c r="A155" s="4"/>
      <c r="B155" s="4"/>
      <c r="C155" s="4"/>
      <c r="D155" s="4"/>
      <c r="E155" s="4"/>
      <c r="F155" s="4"/>
      <c r="G155" s="4"/>
      <c r="H155" s="4"/>
      <c r="I155" s="4"/>
    </row>
    <row r="156" spans="1:9">
      <c r="A156" s="4"/>
      <c r="B156" s="4"/>
      <c r="C156" s="4"/>
      <c r="D156" s="4"/>
      <c r="E156" s="4"/>
      <c r="F156" s="4"/>
      <c r="G156" s="4"/>
      <c r="H156" s="4"/>
      <c r="I156" s="4"/>
    </row>
    <row r="157" spans="1:9">
      <c r="A157" s="4"/>
      <c r="B157" s="4"/>
      <c r="C157" s="4"/>
      <c r="D157" s="4"/>
      <c r="E157" s="4"/>
      <c r="F157" s="4"/>
      <c r="G157" s="4"/>
      <c r="H157" s="4"/>
      <c r="I157" s="4"/>
    </row>
    <row r="158" spans="1:9">
      <c r="A158" s="4"/>
      <c r="B158" s="4"/>
      <c r="C158" s="4"/>
      <c r="D158" s="4"/>
      <c r="E158" s="4"/>
      <c r="F158" s="4"/>
      <c r="G158" s="4"/>
      <c r="H158" s="4"/>
      <c r="I158" s="4"/>
    </row>
    <row r="159" spans="1:9">
      <c r="A159" s="4"/>
      <c r="B159" s="4"/>
      <c r="C159" s="4"/>
      <c r="D159" s="4"/>
      <c r="E159" s="4"/>
      <c r="F159" s="4"/>
      <c r="G159" s="4"/>
      <c r="H159" s="4"/>
      <c r="I159" s="4"/>
    </row>
    <row r="160" spans="1:9">
      <c r="A160" s="4"/>
      <c r="B160" s="4"/>
      <c r="C160" s="4"/>
      <c r="D160" s="4"/>
      <c r="E160" s="4"/>
      <c r="F160" s="4"/>
      <c r="G160" s="4"/>
      <c r="H160" s="4"/>
      <c r="I160" s="4"/>
    </row>
    <row r="161" spans="1:9">
      <c r="A161" s="4"/>
      <c r="B161" s="4"/>
      <c r="C161" s="4"/>
      <c r="D161" s="4"/>
      <c r="E161" s="4"/>
      <c r="F161" s="4"/>
      <c r="G161" s="4"/>
      <c r="H161" s="4"/>
      <c r="I161" s="4"/>
    </row>
    <row r="162" spans="1:9">
      <c r="A162" s="4"/>
      <c r="B162" s="4"/>
      <c r="C162" s="4"/>
      <c r="D162" s="4"/>
      <c r="E162" s="4"/>
      <c r="F162" s="4"/>
      <c r="G162" s="4"/>
      <c r="H162" s="4"/>
      <c r="I162" s="4"/>
    </row>
    <row r="163" spans="1:9">
      <c r="A163" s="4"/>
      <c r="B163" s="4"/>
      <c r="C163" s="4"/>
      <c r="D163" s="4"/>
      <c r="E163" s="4"/>
      <c r="F163" s="4"/>
      <c r="G163" s="4"/>
      <c r="H163" s="4"/>
      <c r="I163" s="4"/>
    </row>
    <row r="164" spans="1:9">
      <c r="A164" s="4"/>
      <c r="B164" s="4"/>
      <c r="C164" s="4"/>
      <c r="D164" s="4"/>
      <c r="E164" s="4"/>
      <c r="F164" s="4"/>
      <c r="G164" s="4"/>
      <c r="H164" s="4"/>
      <c r="I164" s="4"/>
    </row>
    <row r="165" spans="1:9">
      <c r="A165" s="4"/>
      <c r="B165" s="4"/>
      <c r="C165" s="4"/>
      <c r="D165" s="4"/>
      <c r="E165" s="4"/>
      <c r="F165" s="4"/>
      <c r="G165" s="4"/>
      <c r="H165" s="4"/>
      <c r="I165" s="4"/>
    </row>
    <row r="166" spans="1:9">
      <c r="A166" s="4"/>
      <c r="B166" s="4"/>
      <c r="C166" s="4"/>
      <c r="D166" s="4"/>
      <c r="E166" s="4"/>
      <c r="F166" s="4"/>
      <c r="G166" s="4"/>
      <c r="H166" s="4"/>
      <c r="I166" s="4"/>
    </row>
    <row r="167" spans="1:9">
      <c r="A167" s="4"/>
      <c r="B167" s="4"/>
      <c r="C167" s="4"/>
      <c r="D167" s="4"/>
      <c r="E167" s="4"/>
      <c r="F167" s="4"/>
      <c r="G167" s="4"/>
      <c r="H167" s="4"/>
      <c r="I167" s="4"/>
    </row>
    <row r="168" spans="1:9">
      <c r="A168" s="4"/>
      <c r="B168" s="4"/>
      <c r="C168" s="4"/>
      <c r="D168" s="4"/>
      <c r="E168" s="4"/>
      <c r="F168" s="4"/>
      <c r="G168" s="4"/>
      <c r="H168" s="4"/>
      <c r="I168" s="4"/>
    </row>
    <row r="169" spans="1:9">
      <c r="A169" s="4"/>
      <c r="B169" s="4"/>
      <c r="C169" s="4"/>
      <c r="D169" s="4"/>
      <c r="E169" s="4"/>
      <c r="F169" s="4"/>
      <c r="G169" s="4"/>
      <c r="H169" s="4"/>
      <c r="I169" s="4"/>
    </row>
    <row r="170" spans="1:9">
      <c r="A170" s="4"/>
      <c r="B170" s="4"/>
      <c r="C170" s="4"/>
      <c r="D170" s="4"/>
      <c r="E170" s="4"/>
      <c r="F170" s="4"/>
      <c r="G170" s="4"/>
      <c r="H170" s="4"/>
      <c r="I170" s="4"/>
    </row>
    <row r="171" spans="1:9">
      <c r="A171" s="4"/>
      <c r="B171" s="4"/>
      <c r="C171" s="4"/>
      <c r="D171" s="4"/>
      <c r="E171" s="4"/>
      <c r="F171" s="4"/>
      <c r="G171" s="4"/>
      <c r="H171" s="4"/>
      <c r="I171" s="4"/>
    </row>
    <row r="172" spans="1:9">
      <c r="A172" s="4"/>
      <c r="B172" s="4"/>
      <c r="C172" s="4"/>
      <c r="D172" s="4"/>
      <c r="E172" s="4"/>
      <c r="F172" s="4"/>
      <c r="G172" s="4"/>
      <c r="H172" s="4"/>
      <c r="I172" s="4"/>
    </row>
    <row r="173" spans="1:9">
      <c r="A173" s="4"/>
      <c r="B173" s="4"/>
      <c r="C173" s="4"/>
      <c r="D173" s="4"/>
      <c r="E173" s="4"/>
      <c r="F173" s="4"/>
      <c r="G173" s="4"/>
      <c r="H173" s="4"/>
      <c r="I173" s="4"/>
    </row>
    <row r="174" spans="1:9">
      <c r="A174" s="4"/>
      <c r="B174" s="4"/>
      <c r="C174" s="4"/>
      <c r="D174" s="4"/>
      <c r="E174" s="4"/>
      <c r="F174" s="4"/>
      <c r="G174" s="4"/>
      <c r="H174" s="4"/>
      <c r="I174" s="4"/>
    </row>
    <row r="175" spans="1:9">
      <c r="A175" s="4"/>
      <c r="B175" s="4"/>
      <c r="C175" s="4"/>
      <c r="D175" s="4"/>
      <c r="E175" s="4"/>
      <c r="F175" s="4"/>
      <c r="G175" s="4"/>
      <c r="H175" s="4"/>
      <c r="I175" s="4"/>
    </row>
    <row r="176" spans="1:9">
      <c r="A176" s="4"/>
      <c r="B176" s="4"/>
      <c r="C176" s="4"/>
      <c r="D176" s="4"/>
      <c r="E176" s="4"/>
      <c r="F176" s="4"/>
      <c r="G176" s="4"/>
      <c r="H176" s="4"/>
      <c r="I176" s="4"/>
    </row>
    <row r="177" spans="1:9">
      <c r="A177" s="4"/>
      <c r="B177" s="4"/>
      <c r="C177" s="4"/>
      <c r="D177" s="4"/>
      <c r="E177" s="4"/>
      <c r="F177" s="4"/>
      <c r="G177" s="4"/>
      <c r="H177" s="4"/>
      <c r="I177" s="4"/>
    </row>
    <row r="178" spans="1:9">
      <c r="A178" s="4"/>
      <c r="B178" s="4"/>
      <c r="C178" s="4"/>
      <c r="D178" s="4"/>
      <c r="E178" s="4"/>
      <c r="F178" s="4"/>
      <c r="G178" s="4"/>
      <c r="H178" s="4"/>
      <c r="I178" s="4"/>
    </row>
    <row r="179" spans="1:9">
      <c r="A179" s="4"/>
      <c r="B179" s="4"/>
      <c r="C179" s="4"/>
      <c r="D179" s="4"/>
      <c r="E179" s="4"/>
      <c r="F179" s="4"/>
      <c r="G179" s="4"/>
      <c r="H179" s="4"/>
      <c r="I179" s="4"/>
    </row>
    <row r="180" spans="1:9">
      <c r="A180" s="4"/>
      <c r="B180" s="4"/>
      <c r="C180" s="4"/>
      <c r="D180" s="4"/>
      <c r="E180" s="4"/>
      <c r="F180" s="4"/>
      <c r="G180" s="4"/>
      <c r="H180" s="4"/>
      <c r="I180" s="4"/>
    </row>
    <row r="181" spans="1:9">
      <c r="A181" s="4"/>
      <c r="B181" s="4"/>
      <c r="C181" s="4"/>
      <c r="D181" s="4"/>
      <c r="E181" s="4"/>
      <c r="F181" s="4"/>
      <c r="G181" s="4"/>
      <c r="H181" s="4"/>
      <c r="I181" s="4"/>
    </row>
    <row r="182" spans="1:9">
      <c r="A182" s="4"/>
      <c r="B182" s="4"/>
      <c r="C182" s="4"/>
      <c r="D182" s="4"/>
      <c r="E182" s="4"/>
      <c r="F182" s="4"/>
      <c r="G182" s="4"/>
      <c r="H182" s="4"/>
      <c r="I182" s="4"/>
    </row>
    <row r="183" spans="1:9">
      <c r="A183" s="4"/>
      <c r="B183" s="4"/>
      <c r="C183" s="4"/>
      <c r="D183" s="4"/>
      <c r="E183" s="4"/>
      <c r="F183" s="4"/>
      <c r="G183" s="4"/>
      <c r="H183" s="4"/>
      <c r="I183" s="4"/>
    </row>
    <row r="184" spans="1:9">
      <c r="A184" s="4"/>
      <c r="B184" s="4"/>
      <c r="C184" s="4"/>
      <c r="D184" s="4"/>
      <c r="E184" s="4"/>
      <c r="F184" s="4"/>
      <c r="G184" s="4"/>
      <c r="H184" s="4"/>
      <c r="I184" s="4"/>
    </row>
    <row r="185" spans="1:9">
      <c r="A185" s="4"/>
      <c r="B185" s="4"/>
      <c r="C185" s="4"/>
      <c r="D185" s="4"/>
      <c r="E185" s="4"/>
      <c r="F185" s="4"/>
      <c r="G185" s="4"/>
      <c r="H185" s="4"/>
      <c r="I185" s="4"/>
    </row>
    <row r="186" spans="1:9">
      <c r="A186" s="4"/>
      <c r="B186" s="4"/>
      <c r="C186" s="4"/>
      <c r="D186" s="4"/>
      <c r="E186" s="4"/>
      <c r="F186" s="4"/>
      <c r="G186" s="4"/>
      <c r="H186" s="4"/>
      <c r="I186" s="4"/>
    </row>
    <row r="187" spans="1:9">
      <c r="A187" s="4"/>
      <c r="B187" s="4"/>
      <c r="C187" s="4"/>
      <c r="D187" s="4"/>
      <c r="E187" s="4"/>
      <c r="F187" s="4"/>
      <c r="G187" s="4"/>
      <c r="H187" s="4"/>
      <c r="I187" s="4"/>
    </row>
    <row r="188" spans="1:9">
      <c r="A188" s="4"/>
      <c r="B188" s="4"/>
      <c r="C188" s="4"/>
      <c r="D188" s="4"/>
      <c r="E188" s="4"/>
      <c r="F188" s="4"/>
      <c r="G188" s="4"/>
      <c r="H188" s="4"/>
      <c r="I188" s="4"/>
    </row>
    <row r="189" spans="1:9">
      <c r="A189" s="4"/>
      <c r="B189" s="4"/>
      <c r="C189" s="4"/>
      <c r="D189" s="4"/>
      <c r="E189" s="4"/>
      <c r="F189" s="4"/>
      <c r="G189" s="4"/>
      <c r="H189" s="4"/>
      <c r="I189" s="4"/>
    </row>
    <row r="190" spans="1:9">
      <c r="A190" s="4"/>
      <c r="B190" s="4"/>
      <c r="C190" s="4"/>
      <c r="D190" s="4"/>
      <c r="E190" s="4"/>
      <c r="F190" s="4"/>
      <c r="G190" s="4"/>
      <c r="H190" s="4"/>
      <c r="I190" s="4"/>
    </row>
    <row r="191" spans="1:9">
      <c r="A191" s="4"/>
      <c r="B191" s="4"/>
      <c r="C191" s="4"/>
      <c r="D191" s="4"/>
      <c r="E191" s="4"/>
      <c r="F191" s="4"/>
      <c r="G191" s="4"/>
      <c r="H191" s="4"/>
      <c r="I191" s="4"/>
    </row>
    <row r="192" spans="1:9">
      <c r="A192" s="4"/>
      <c r="B192" s="4"/>
      <c r="C192" s="4"/>
      <c r="D192" s="4"/>
      <c r="E192" s="4"/>
      <c r="F192" s="4"/>
      <c r="G192" s="4"/>
      <c r="H192" s="4"/>
      <c r="I192" s="4"/>
    </row>
    <row r="193" spans="1:9">
      <c r="A193" s="4"/>
      <c r="B193" s="4"/>
      <c r="C193" s="4"/>
      <c r="D193" s="4"/>
      <c r="E193" s="4"/>
      <c r="F193" s="4"/>
      <c r="G193" s="4"/>
      <c r="H193" s="4"/>
      <c r="I193" s="4"/>
    </row>
    <row r="194" spans="1:9">
      <c r="A194" s="4"/>
      <c r="B194" s="4"/>
      <c r="C194" s="4"/>
      <c r="D194" s="4"/>
      <c r="E194" s="4"/>
      <c r="F194" s="4"/>
      <c r="G194" s="4"/>
      <c r="H194" s="4"/>
      <c r="I194" s="4"/>
    </row>
    <row r="195" spans="1:9">
      <c r="A195" s="4"/>
      <c r="B195" s="4"/>
      <c r="C195" s="4"/>
      <c r="D195" s="4"/>
      <c r="E195" s="4"/>
      <c r="F195" s="4"/>
      <c r="G195" s="4"/>
      <c r="H195" s="4"/>
      <c r="I195" s="4"/>
    </row>
    <row r="196" spans="1:9">
      <c r="A196" s="4"/>
      <c r="B196" s="4"/>
      <c r="C196" s="4"/>
      <c r="D196" s="4"/>
      <c r="E196" s="4"/>
      <c r="F196" s="4"/>
      <c r="G196" s="4"/>
      <c r="H196" s="4"/>
      <c r="I196" s="4"/>
    </row>
    <row r="197" spans="1:9">
      <c r="A197" s="4"/>
      <c r="B197" s="4"/>
      <c r="C197" s="4"/>
      <c r="D197" s="4"/>
      <c r="E197" s="4"/>
      <c r="F197" s="4"/>
      <c r="G197" s="4"/>
      <c r="H197" s="4"/>
      <c r="I197" s="4"/>
    </row>
    <row r="198" spans="1:9">
      <c r="A198" s="4"/>
      <c r="B198" s="4"/>
      <c r="C198" s="4"/>
      <c r="D198" s="4"/>
      <c r="E198" s="4"/>
      <c r="F198" s="4"/>
      <c r="G198" s="4"/>
      <c r="H198" s="4"/>
      <c r="I198" s="4"/>
    </row>
    <row r="199" spans="1:9">
      <c r="A199" s="4"/>
      <c r="B199" s="4"/>
      <c r="C199" s="4"/>
      <c r="D199" s="4"/>
      <c r="E199" s="4"/>
      <c r="F199" s="4"/>
      <c r="G199" s="4"/>
      <c r="H199" s="4"/>
      <c r="I199" s="4"/>
    </row>
    <row r="200" spans="1:9">
      <c r="A200" s="4"/>
      <c r="B200" s="4"/>
      <c r="C200" s="4"/>
      <c r="D200" s="4"/>
      <c r="E200" s="4"/>
      <c r="F200" s="4"/>
      <c r="G200" s="4"/>
      <c r="H200" s="4"/>
      <c r="I200" s="4"/>
    </row>
    <row r="201" spans="1:9">
      <c r="A201" s="4"/>
      <c r="B201" s="4"/>
      <c r="C201" s="4"/>
      <c r="D201" s="4"/>
      <c r="E201" s="4"/>
      <c r="F201" s="4"/>
      <c r="G201" s="4"/>
      <c r="H201" s="4"/>
      <c r="I201" s="4"/>
    </row>
    <row r="202" spans="1:9">
      <c r="A202" s="4"/>
      <c r="B202" s="4"/>
      <c r="C202" s="4"/>
      <c r="D202" s="4"/>
      <c r="E202" s="4"/>
      <c r="F202" s="4"/>
      <c r="G202" s="4"/>
      <c r="H202" s="4"/>
      <c r="I202" s="4"/>
    </row>
    <row r="203" spans="1:9">
      <c r="A203" s="4"/>
      <c r="B203" s="4"/>
      <c r="C203" s="4"/>
      <c r="D203" s="4"/>
      <c r="E203" s="4"/>
      <c r="F203" s="4"/>
      <c r="G203" s="4"/>
      <c r="H203" s="4"/>
      <c r="I203" s="4"/>
    </row>
    <row r="204" spans="1:9">
      <c r="A204" s="4"/>
      <c r="B204" s="4"/>
      <c r="C204" s="4"/>
      <c r="D204" s="4"/>
      <c r="E204" s="4"/>
      <c r="F204" s="4"/>
      <c r="G204" s="4"/>
      <c r="H204" s="4"/>
      <c r="I204" s="4"/>
    </row>
    <row r="205" spans="1:9">
      <c r="A205" s="4"/>
      <c r="B205" s="4"/>
      <c r="C205" s="4"/>
      <c r="D205" s="4"/>
      <c r="E205" s="4"/>
      <c r="F205" s="4"/>
      <c r="G205" s="4"/>
      <c r="H205" s="4"/>
      <c r="I205" s="4"/>
    </row>
    <row r="206" spans="1:9">
      <c r="A206" s="4"/>
      <c r="B206" s="4"/>
      <c r="C206" s="4"/>
      <c r="D206" s="4"/>
      <c r="E206" s="4"/>
      <c r="F206" s="4"/>
      <c r="G206" s="4"/>
      <c r="H206" s="4"/>
      <c r="I206" s="4"/>
    </row>
    <row r="207" spans="1:9">
      <c r="A207" s="4"/>
      <c r="B207" s="4"/>
      <c r="C207" s="4"/>
      <c r="D207" s="4"/>
      <c r="E207" s="4"/>
      <c r="F207" s="4"/>
      <c r="G207" s="4"/>
      <c r="H207" s="4"/>
      <c r="I207" s="4"/>
    </row>
    <row r="208" spans="1:9">
      <c r="A208" s="4"/>
      <c r="B208" s="4"/>
      <c r="C208" s="4"/>
      <c r="D208" s="4"/>
      <c r="E208" s="4"/>
      <c r="F208" s="4"/>
      <c r="G208" s="4"/>
      <c r="H208" s="4"/>
      <c r="I208" s="4"/>
    </row>
    <row r="209" spans="1:9">
      <c r="A209" s="4"/>
      <c r="B209" s="4"/>
      <c r="C209" s="4"/>
      <c r="D209" s="4"/>
      <c r="E209" s="4"/>
      <c r="F209" s="4"/>
      <c r="G209" s="4"/>
      <c r="H209" s="4"/>
      <c r="I209" s="4"/>
    </row>
    <row r="210" spans="1:9">
      <c r="A210" s="4"/>
      <c r="B210" s="4"/>
      <c r="C210" s="4"/>
      <c r="D210" s="4"/>
      <c r="E210" s="4"/>
      <c r="F210" s="4"/>
      <c r="G210" s="4"/>
      <c r="H210" s="4"/>
      <c r="I210" s="4"/>
    </row>
    <row r="211" spans="1:9">
      <c r="A211" s="4"/>
      <c r="B211" s="4"/>
      <c r="C211" s="4"/>
      <c r="D211" s="4"/>
      <c r="E211" s="4"/>
      <c r="F211" s="4"/>
      <c r="G211" s="4"/>
      <c r="H211" s="4"/>
      <c r="I211" s="4"/>
    </row>
    <row r="212" spans="1:9">
      <c r="A212" s="4"/>
      <c r="B212" s="4"/>
      <c r="C212" s="4"/>
      <c r="D212" s="4"/>
      <c r="E212" s="4"/>
      <c r="F212" s="4"/>
      <c r="G212" s="4"/>
      <c r="H212" s="4"/>
      <c r="I212" s="4"/>
    </row>
    <row r="213" spans="1:9">
      <c r="A213" s="4"/>
      <c r="B213" s="4"/>
      <c r="C213" s="4"/>
      <c r="D213" s="4"/>
      <c r="E213" s="4"/>
      <c r="F213" s="4"/>
      <c r="G213" s="4"/>
      <c r="H213" s="4"/>
      <c r="I213" s="4"/>
    </row>
    <row r="214" spans="1:9">
      <c r="A214" s="4"/>
      <c r="B214" s="4"/>
      <c r="C214" s="4"/>
      <c r="D214" s="4"/>
      <c r="E214" s="4"/>
      <c r="F214" s="4"/>
      <c r="G214" s="4"/>
      <c r="H214" s="4"/>
      <c r="I214" s="4"/>
    </row>
    <row r="215" spans="1:9">
      <c r="A215" s="4"/>
      <c r="B215" s="4"/>
      <c r="C215" s="4"/>
      <c r="D215" s="4"/>
      <c r="E215" s="4"/>
      <c r="F215" s="4"/>
      <c r="G215" s="4"/>
      <c r="H215" s="4"/>
      <c r="I215" s="4"/>
    </row>
    <row r="216" spans="1:9">
      <c r="A216" s="4"/>
      <c r="B216" s="4"/>
      <c r="C216" s="4"/>
      <c r="D216" s="4"/>
      <c r="E216" s="4"/>
      <c r="F216" s="4"/>
      <c r="G216" s="4"/>
      <c r="H216" s="4"/>
      <c r="I216" s="4"/>
    </row>
    <row r="217" spans="1:9">
      <c r="A217" s="4"/>
      <c r="B217" s="4"/>
      <c r="C217" s="4"/>
      <c r="D217" s="4"/>
      <c r="E217" s="4"/>
      <c r="F217" s="4"/>
      <c r="G217" s="4"/>
      <c r="H217" s="4"/>
      <c r="I217" s="4"/>
    </row>
    <row r="218" spans="1:9">
      <c r="A218" s="4"/>
      <c r="B218" s="4"/>
      <c r="C218" s="4"/>
      <c r="D218" s="4"/>
      <c r="E218" s="4"/>
      <c r="F218" s="4"/>
      <c r="G218" s="4"/>
      <c r="H218" s="4"/>
      <c r="I218" s="4"/>
    </row>
    <row r="219" spans="1:9">
      <c r="A219" s="4"/>
      <c r="B219" s="4"/>
      <c r="C219" s="4"/>
      <c r="D219" s="4"/>
      <c r="E219" s="4"/>
      <c r="F219" s="4"/>
      <c r="G219" s="4"/>
      <c r="H219" s="4"/>
      <c r="I219" s="4"/>
    </row>
    <row r="220" spans="1:9">
      <c r="A220" s="4"/>
      <c r="B220" s="4"/>
      <c r="C220" s="4"/>
      <c r="D220" s="4"/>
      <c r="E220" s="4"/>
      <c r="F220" s="4"/>
      <c r="G220" s="4"/>
      <c r="H220" s="4"/>
      <c r="I220" s="4"/>
    </row>
    <row r="221" spans="1:9">
      <c r="A221" s="4"/>
      <c r="B221" s="4"/>
      <c r="C221" s="4"/>
      <c r="D221" s="4"/>
      <c r="E221" s="4"/>
      <c r="F221" s="4"/>
      <c r="G221" s="4"/>
      <c r="H221" s="4"/>
      <c r="I221" s="4"/>
    </row>
    <row r="222" spans="1:9">
      <c r="A222" s="4"/>
      <c r="B222" s="4"/>
      <c r="C222" s="4"/>
      <c r="D222" s="4"/>
      <c r="E222" s="4"/>
      <c r="F222" s="4"/>
      <c r="G222" s="4"/>
      <c r="H222" s="4"/>
      <c r="I222" s="4"/>
    </row>
    <row r="223" spans="1:9">
      <c r="A223" s="4"/>
      <c r="B223" s="4"/>
      <c r="C223" s="4"/>
      <c r="D223" s="4"/>
      <c r="E223" s="4"/>
      <c r="F223" s="4"/>
      <c r="G223" s="4"/>
      <c r="H223" s="4"/>
      <c r="I223" s="4"/>
    </row>
    <row r="224" spans="1:9">
      <c r="A224" s="4"/>
      <c r="B224" s="4"/>
      <c r="C224" s="4"/>
      <c r="D224" s="4"/>
      <c r="E224" s="4"/>
      <c r="F224" s="4"/>
      <c r="G224" s="4"/>
      <c r="H224" s="4"/>
      <c r="I224" s="4"/>
    </row>
    <row r="225" spans="1:9">
      <c r="A225" s="4"/>
      <c r="B225" s="4"/>
      <c r="C225" s="4"/>
      <c r="D225" s="4"/>
      <c r="E225" s="4"/>
      <c r="F225" s="4"/>
      <c r="G225" s="4"/>
      <c r="H225" s="4"/>
      <c r="I225" s="4"/>
    </row>
    <row r="226" spans="1:9">
      <c r="A226" s="4"/>
      <c r="B226" s="4"/>
      <c r="C226" s="4"/>
      <c r="D226" s="4"/>
      <c r="E226" s="4"/>
      <c r="F226" s="4"/>
      <c r="G226" s="4"/>
      <c r="H226" s="4"/>
      <c r="I226" s="4"/>
    </row>
    <row r="227" spans="1:9">
      <c r="A227" s="4"/>
      <c r="B227" s="4"/>
      <c r="C227" s="4"/>
      <c r="D227" s="4"/>
      <c r="E227" s="4"/>
      <c r="F227" s="4"/>
      <c r="G227" s="4"/>
      <c r="H227" s="4"/>
      <c r="I227" s="4"/>
    </row>
    <row r="228" spans="1:9">
      <c r="A228" s="4"/>
      <c r="B228" s="4"/>
      <c r="C228" s="4"/>
      <c r="D228" s="4"/>
      <c r="E228" s="4"/>
      <c r="F228" s="4"/>
      <c r="G228" s="4"/>
      <c r="H228" s="4"/>
      <c r="I228" s="4"/>
    </row>
    <row r="229" spans="1:9">
      <c r="A229" s="4"/>
      <c r="B229" s="4"/>
      <c r="C229" s="4"/>
      <c r="D229" s="4"/>
      <c r="E229" s="4"/>
      <c r="F229" s="4"/>
      <c r="G229" s="4"/>
      <c r="H229" s="4"/>
      <c r="I229" s="4"/>
    </row>
    <row r="230" spans="1:9">
      <c r="A230" s="4"/>
      <c r="B230" s="4"/>
      <c r="C230" s="4"/>
      <c r="D230" s="4"/>
      <c r="E230" s="4"/>
      <c r="F230" s="4"/>
      <c r="G230" s="4"/>
      <c r="H230" s="4"/>
      <c r="I230" s="4"/>
    </row>
    <row r="231" spans="1:9">
      <c r="A231" s="4"/>
      <c r="B231" s="4"/>
      <c r="C231" s="4"/>
      <c r="D231" s="4"/>
      <c r="E231" s="4"/>
      <c r="F231" s="4"/>
      <c r="G231" s="4"/>
      <c r="H231" s="4"/>
      <c r="I231" s="4"/>
    </row>
    <row r="232" spans="1:9">
      <c r="A232" s="4"/>
      <c r="B232" s="4"/>
      <c r="C232" s="4"/>
      <c r="D232" s="4"/>
      <c r="E232" s="4"/>
      <c r="F232" s="4"/>
      <c r="G232" s="4"/>
      <c r="H232" s="4"/>
      <c r="I232" s="4"/>
    </row>
    <row r="233" spans="1:9">
      <c r="A233" s="4"/>
      <c r="B233" s="4"/>
      <c r="C233" s="4"/>
      <c r="D233" s="4"/>
      <c r="E233" s="4"/>
      <c r="F233" s="4"/>
      <c r="G233" s="4"/>
      <c r="H233" s="4"/>
      <c r="I233" s="4"/>
    </row>
    <row r="234" spans="1:9">
      <c r="A234" s="4"/>
      <c r="B234" s="4"/>
      <c r="C234" s="4"/>
      <c r="D234" s="4"/>
      <c r="E234" s="4"/>
      <c r="F234" s="4"/>
      <c r="G234" s="4"/>
      <c r="H234" s="4"/>
      <c r="I234" s="4"/>
    </row>
    <row r="235" spans="1:9">
      <c r="A235" s="4"/>
      <c r="B235" s="4"/>
      <c r="C235" s="4"/>
      <c r="D235" s="4"/>
      <c r="E235" s="4"/>
      <c r="F235" s="4"/>
      <c r="G235" s="4"/>
      <c r="H235" s="4"/>
      <c r="I235" s="4"/>
    </row>
    <row r="236" spans="1:9">
      <c r="A236" s="4"/>
      <c r="B236" s="4"/>
      <c r="C236" s="4"/>
      <c r="D236" s="4"/>
      <c r="E236" s="4"/>
      <c r="F236" s="4"/>
      <c r="G236" s="4"/>
      <c r="H236" s="4"/>
      <c r="I236" s="4"/>
    </row>
    <row r="237" spans="1:9">
      <c r="A237" s="4"/>
      <c r="B237" s="4"/>
      <c r="C237" s="4"/>
      <c r="D237" s="4"/>
      <c r="E237" s="4"/>
      <c r="F237" s="4"/>
      <c r="G237" s="4"/>
      <c r="H237" s="4"/>
      <c r="I237" s="4"/>
    </row>
    <row r="238" spans="1:9">
      <c r="A238" s="4"/>
      <c r="B238" s="4"/>
      <c r="C238" s="4"/>
      <c r="D238" s="4"/>
      <c r="E238" s="4"/>
      <c r="F238" s="4"/>
      <c r="G238" s="4"/>
      <c r="H238" s="4"/>
      <c r="I238" s="4"/>
    </row>
    <row r="239" spans="1:9">
      <c r="A239" s="4"/>
      <c r="B239" s="4"/>
      <c r="C239" s="4"/>
      <c r="D239" s="4"/>
      <c r="E239" s="4"/>
      <c r="F239" s="4"/>
      <c r="G239" s="4"/>
      <c r="H239" s="4"/>
      <c r="I239" s="4"/>
    </row>
    <row r="240" spans="1:9">
      <c r="A240" s="4"/>
      <c r="B240" s="4"/>
      <c r="C240" s="4"/>
      <c r="D240" s="4"/>
      <c r="E240" s="4"/>
      <c r="F240" s="4"/>
      <c r="G240" s="4"/>
      <c r="H240" s="4"/>
      <c r="I240" s="4"/>
    </row>
    <row r="241" spans="1:9">
      <c r="A241" s="4"/>
      <c r="B241" s="4"/>
      <c r="C241" s="4"/>
      <c r="D241" s="4"/>
      <c r="E241" s="4"/>
      <c r="F241" s="4"/>
      <c r="G241" s="4"/>
      <c r="H241" s="4"/>
      <c r="I241" s="4"/>
    </row>
    <row r="242" spans="1:9">
      <c r="A242" s="4"/>
      <c r="B242" s="4"/>
      <c r="C242" s="4"/>
      <c r="D242" s="4"/>
      <c r="E242" s="4"/>
      <c r="F242" s="4"/>
      <c r="G242" s="4"/>
      <c r="H242" s="4"/>
      <c r="I242" s="4"/>
    </row>
    <row r="243" spans="1:9">
      <c r="A243" s="4"/>
      <c r="B243" s="4"/>
      <c r="C243" s="4"/>
      <c r="D243" s="4"/>
      <c r="E243" s="4"/>
      <c r="F243" s="4"/>
      <c r="G243" s="4"/>
      <c r="H243" s="4"/>
      <c r="I243" s="4"/>
    </row>
    <row r="244" spans="1:9">
      <c r="A244" s="4"/>
      <c r="B244" s="4"/>
      <c r="C244" s="4"/>
      <c r="D244" s="4"/>
      <c r="E244" s="4"/>
      <c r="F244" s="4"/>
      <c r="G244" s="4"/>
      <c r="H244" s="4"/>
      <c r="I244" s="4"/>
    </row>
    <row r="245" spans="1:9">
      <c r="A245" s="4"/>
      <c r="B245" s="4"/>
      <c r="C245" s="4"/>
      <c r="D245" s="4"/>
      <c r="E245" s="4"/>
      <c r="F245" s="4"/>
      <c r="G245" s="4"/>
      <c r="H245" s="4"/>
      <c r="I245" s="4"/>
    </row>
    <row r="246" spans="1:9">
      <c r="A246" s="4"/>
      <c r="B246" s="4"/>
      <c r="C246" s="4"/>
      <c r="D246" s="4"/>
      <c r="E246" s="4"/>
      <c r="F246" s="4"/>
      <c r="G246" s="4"/>
      <c r="H246" s="4"/>
      <c r="I246" s="4"/>
    </row>
    <row r="247" spans="1:9">
      <c r="A247" s="4"/>
      <c r="B247" s="4"/>
      <c r="C247" s="4"/>
      <c r="D247" s="4"/>
      <c r="E247" s="4"/>
      <c r="F247" s="4"/>
      <c r="G247" s="4"/>
      <c r="H247" s="4"/>
      <c r="I247" s="4"/>
    </row>
    <row r="248" spans="1:9">
      <c r="A248" s="4"/>
      <c r="B248" s="4"/>
      <c r="C248" s="4"/>
      <c r="D248" s="4"/>
      <c r="E248" s="4"/>
      <c r="F248" s="4"/>
      <c r="G248" s="4"/>
      <c r="H248" s="4"/>
      <c r="I248" s="4"/>
    </row>
    <row r="249" spans="1:9">
      <c r="A249" s="4"/>
      <c r="B249" s="4"/>
      <c r="C249" s="4"/>
      <c r="D249" s="4"/>
      <c r="E249" s="4"/>
      <c r="F249" s="4"/>
      <c r="G249" s="4"/>
      <c r="H249" s="4"/>
      <c r="I249" s="4"/>
    </row>
    <row r="250" spans="1:9">
      <c r="A250" s="4"/>
      <c r="B250" s="4"/>
      <c r="C250" s="4"/>
      <c r="D250" s="4"/>
      <c r="E250" s="4"/>
      <c r="F250" s="4"/>
      <c r="G250" s="4"/>
      <c r="H250" s="4"/>
      <c r="I250" s="4"/>
    </row>
    <row r="251" spans="1:9">
      <c r="A251" s="4"/>
      <c r="B251" s="4"/>
      <c r="C251" s="4"/>
      <c r="D251" s="4"/>
      <c r="E251" s="4"/>
      <c r="F251" s="4"/>
      <c r="G251" s="4"/>
      <c r="H251" s="4"/>
      <c r="I251" s="4"/>
    </row>
    <row r="252" spans="1:9">
      <c r="A252" s="4"/>
      <c r="B252" s="4"/>
      <c r="C252" s="4"/>
      <c r="D252" s="4"/>
      <c r="E252" s="4"/>
      <c r="F252" s="4"/>
      <c r="G252" s="4"/>
      <c r="H252" s="4"/>
      <c r="I252" s="4"/>
    </row>
    <row r="253" spans="1:9">
      <c r="A253" s="4"/>
      <c r="B253" s="4"/>
      <c r="C253" s="4"/>
      <c r="D253" s="4"/>
      <c r="E253" s="4"/>
      <c r="F253" s="4"/>
      <c r="G253" s="4"/>
      <c r="H253" s="4"/>
      <c r="I253" s="4"/>
    </row>
    <row r="254" spans="1:9">
      <c r="A254" s="4"/>
      <c r="B254" s="4"/>
      <c r="C254" s="4"/>
      <c r="D254" s="4"/>
      <c r="E254" s="4"/>
      <c r="F254" s="4"/>
      <c r="G254" s="4"/>
      <c r="H254" s="4"/>
      <c r="I254" s="4"/>
    </row>
    <row r="255" spans="1:9">
      <c r="A255" s="4"/>
      <c r="B255" s="4"/>
      <c r="C255" s="4"/>
      <c r="D255" s="4"/>
      <c r="E255" s="4"/>
      <c r="F255" s="4"/>
      <c r="G255" s="4"/>
      <c r="H255" s="4"/>
      <c r="I255" s="4"/>
    </row>
    <row r="256" spans="1:9">
      <c r="A256" s="4"/>
      <c r="B256" s="4"/>
      <c r="C256" s="4"/>
      <c r="D256" s="4"/>
      <c r="E256" s="4"/>
      <c r="F256" s="4"/>
      <c r="G256" s="4"/>
      <c r="H256" s="4"/>
      <c r="I256" s="4"/>
    </row>
    <row r="257" spans="1:9">
      <c r="A257" s="4"/>
      <c r="B257" s="4"/>
      <c r="C257" s="4"/>
      <c r="D257" s="4"/>
      <c r="E257" s="4"/>
      <c r="F257" s="4"/>
      <c r="G257" s="4"/>
      <c r="H257" s="4"/>
      <c r="I257" s="4"/>
    </row>
    <row r="258" spans="1:9">
      <c r="A258" s="4"/>
      <c r="B258" s="4"/>
      <c r="C258" s="4"/>
      <c r="D258" s="4"/>
      <c r="E258" s="4"/>
      <c r="F258" s="4"/>
      <c r="G258" s="4"/>
      <c r="H258" s="4"/>
      <c r="I258" s="4"/>
    </row>
    <row r="259" spans="1:9">
      <c r="A259" s="4"/>
      <c r="B259" s="4"/>
      <c r="C259" s="4"/>
      <c r="D259" s="4"/>
      <c r="E259" s="4"/>
      <c r="F259" s="4"/>
      <c r="G259" s="4"/>
      <c r="H259" s="4"/>
      <c r="I259" s="4"/>
    </row>
    <row r="260" spans="1:9">
      <c r="A260" s="4"/>
      <c r="B260" s="4"/>
      <c r="C260" s="4"/>
      <c r="D260" s="4"/>
      <c r="E260" s="4"/>
      <c r="F260" s="4"/>
      <c r="G260" s="4"/>
      <c r="H260" s="4"/>
      <c r="I260" s="4"/>
    </row>
    <row r="261" spans="1:9">
      <c r="A261" s="4"/>
      <c r="B261" s="4"/>
      <c r="C261" s="4"/>
      <c r="D261" s="4"/>
      <c r="E261" s="4"/>
      <c r="F261" s="4"/>
      <c r="G261" s="4"/>
      <c r="H261" s="4"/>
      <c r="I261" s="4"/>
    </row>
    <row r="262" spans="1:9">
      <c r="A262" s="4"/>
      <c r="B262" s="4"/>
      <c r="C262" s="4"/>
      <c r="D262" s="4"/>
      <c r="E262" s="4"/>
      <c r="F262" s="4"/>
      <c r="G262" s="4"/>
      <c r="H262" s="4"/>
      <c r="I262" s="4"/>
    </row>
    <row r="263" spans="1:9">
      <c r="A263" s="4"/>
      <c r="B263" s="4"/>
      <c r="C263" s="4"/>
      <c r="D263" s="4"/>
      <c r="E263" s="4"/>
      <c r="F263" s="4"/>
      <c r="G263" s="4"/>
      <c r="H263" s="4"/>
      <c r="I263" s="4"/>
    </row>
    <row r="264" spans="1:9">
      <c r="A264" s="4"/>
      <c r="B264" s="4"/>
      <c r="C264" s="4"/>
      <c r="D264" s="4"/>
      <c r="E264" s="4"/>
      <c r="F264" s="4"/>
      <c r="G264" s="4"/>
      <c r="H264" s="4"/>
      <c r="I264" s="4"/>
    </row>
    <row r="265" spans="1:9">
      <c r="A265" s="4"/>
      <c r="B265" s="4"/>
      <c r="C265" s="4"/>
      <c r="D265" s="4"/>
      <c r="E265" s="4"/>
      <c r="F265" s="4"/>
      <c r="G265" s="4"/>
      <c r="H265" s="4"/>
      <c r="I265" s="4"/>
    </row>
    <row r="266" spans="1:9">
      <c r="A266" s="4"/>
      <c r="B266" s="4"/>
      <c r="C266" s="4"/>
      <c r="D266" s="4"/>
      <c r="E266" s="4"/>
      <c r="F266" s="4"/>
      <c r="G266" s="4"/>
      <c r="H266" s="4"/>
      <c r="I266" s="4"/>
    </row>
    <row r="267" spans="1:9">
      <c r="A267" s="4"/>
      <c r="B267" s="4"/>
      <c r="C267" s="4"/>
      <c r="D267" s="4"/>
      <c r="E267" s="4"/>
      <c r="F267" s="4"/>
      <c r="G267" s="4"/>
      <c r="H267" s="4"/>
      <c r="I267" s="4"/>
    </row>
    <row r="268" spans="1:9">
      <c r="A268" s="4"/>
      <c r="B268" s="4"/>
      <c r="C268" s="4"/>
      <c r="D268" s="4"/>
      <c r="E268" s="4"/>
      <c r="F268" s="4"/>
      <c r="G268" s="4"/>
      <c r="H268" s="4"/>
      <c r="I268" s="4"/>
    </row>
    <row r="269" spans="1:9">
      <c r="A269" s="4"/>
      <c r="B269" s="4"/>
      <c r="C269" s="4"/>
      <c r="D269" s="4"/>
      <c r="E269" s="4"/>
      <c r="F269" s="4"/>
      <c r="G269" s="4"/>
      <c r="H269" s="4"/>
      <c r="I269" s="4"/>
    </row>
    <row r="270" spans="1:9">
      <c r="A270" s="4"/>
      <c r="B270" s="4"/>
      <c r="C270" s="4"/>
      <c r="D270" s="4"/>
      <c r="E270" s="4"/>
      <c r="F270" s="4"/>
      <c r="G270" s="4"/>
      <c r="H270" s="4"/>
      <c r="I270" s="4"/>
    </row>
    <row r="271" spans="1:9">
      <c r="A271" s="4"/>
      <c r="B271" s="4"/>
      <c r="C271" s="4"/>
      <c r="D271" s="4"/>
      <c r="E271" s="4"/>
      <c r="F271" s="4"/>
      <c r="G271" s="4"/>
      <c r="H271" s="4"/>
      <c r="I271" s="4"/>
    </row>
    <row r="272" spans="1:9">
      <c r="A272" s="4"/>
      <c r="B272" s="4"/>
      <c r="C272" s="4"/>
      <c r="D272" s="4"/>
      <c r="E272" s="4"/>
      <c r="F272" s="4"/>
      <c r="G272" s="4"/>
      <c r="H272" s="4"/>
      <c r="I272" s="4"/>
    </row>
    <row r="273" spans="1:9">
      <c r="A273" s="4"/>
      <c r="B273" s="4"/>
      <c r="C273" s="4"/>
      <c r="D273" s="4"/>
      <c r="E273" s="4"/>
      <c r="F273" s="4"/>
      <c r="G273" s="4"/>
      <c r="H273" s="4"/>
      <c r="I273" s="4"/>
    </row>
    <row r="274" spans="1:9">
      <c r="A274" s="4"/>
      <c r="B274" s="4"/>
      <c r="C274" s="4"/>
      <c r="D274" s="4"/>
      <c r="E274" s="4"/>
      <c r="F274" s="4"/>
      <c r="G274" s="4"/>
      <c r="H274" s="4"/>
      <c r="I274" s="4"/>
    </row>
    <row r="275" spans="1:9">
      <c r="A275" s="4"/>
      <c r="B275" s="4"/>
      <c r="C275" s="4"/>
      <c r="D275" s="4"/>
      <c r="E275" s="4"/>
      <c r="F275" s="4"/>
      <c r="G275" s="4"/>
      <c r="H275" s="4"/>
      <c r="I275" s="4"/>
    </row>
    <row r="276" spans="1:9">
      <c r="A276" s="4"/>
      <c r="B276" s="4"/>
      <c r="C276" s="4"/>
      <c r="D276" s="4"/>
      <c r="E276" s="4"/>
      <c r="F276" s="4"/>
      <c r="G276" s="4"/>
      <c r="H276" s="4"/>
      <c r="I276" s="4"/>
    </row>
    <row r="277" spans="1:9">
      <c r="A277" s="4"/>
      <c r="B277" s="4"/>
      <c r="C277" s="4"/>
      <c r="D277" s="4"/>
      <c r="E277" s="4"/>
      <c r="F277" s="4"/>
      <c r="G277" s="4"/>
      <c r="H277" s="4"/>
      <c r="I277" s="4"/>
    </row>
    <row r="278" spans="1:9">
      <c r="A278" s="4"/>
      <c r="B278" s="4"/>
      <c r="C278" s="4"/>
      <c r="D278" s="4"/>
      <c r="E278" s="4"/>
      <c r="F278" s="4"/>
      <c r="G278" s="4"/>
      <c r="H278" s="4"/>
      <c r="I278" s="4"/>
    </row>
    <row r="279" spans="1:9">
      <c r="A279" s="4"/>
      <c r="B279" s="4"/>
      <c r="C279" s="4"/>
      <c r="D279" s="4"/>
      <c r="E279" s="4"/>
      <c r="F279" s="4"/>
      <c r="G279" s="4"/>
      <c r="H279" s="4"/>
      <c r="I279" s="4"/>
    </row>
    <row r="280" spans="1:9">
      <c r="A280" s="4"/>
      <c r="B280" s="4"/>
      <c r="C280" s="4"/>
      <c r="D280" s="4"/>
      <c r="E280" s="4"/>
      <c r="F280" s="4"/>
      <c r="G280" s="4"/>
      <c r="H280" s="4"/>
      <c r="I280" s="4"/>
    </row>
    <row r="281" spans="1:9">
      <c r="A281" s="4"/>
      <c r="B281" s="4"/>
      <c r="C281" s="4"/>
      <c r="D281" s="4"/>
      <c r="E281" s="4"/>
      <c r="F281" s="4"/>
      <c r="G281" s="4"/>
      <c r="H281" s="4"/>
      <c r="I281" s="4"/>
    </row>
    <row r="282" spans="1:9">
      <c r="A282" s="4"/>
      <c r="B282" s="4"/>
      <c r="C282" s="4"/>
      <c r="D282" s="4"/>
      <c r="E282" s="4"/>
      <c r="F282" s="4"/>
      <c r="G282" s="4"/>
      <c r="H282" s="4"/>
      <c r="I282" s="4"/>
    </row>
    <row r="283" spans="1:9">
      <c r="A283" s="4"/>
      <c r="B283" s="4"/>
      <c r="C283" s="4"/>
      <c r="D283" s="4"/>
      <c r="E283" s="4"/>
      <c r="F283" s="4"/>
      <c r="G283" s="4"/>
      <c r="H283" s="4"/>
      <c r="I283" s="4"/>
    </row>
    <row r="284" spans="1:9">
      <c r="A284" s="4"/>
      <c r="B284" s="4"/>
      <c r="C284" s="4"/>
      <c r="D284" s="4"/>
      <c r="E284" s="4"/>
      <c r="F284" s="4"/>
      <c r="G284" s="4"/>
      <c r="H284" s="4"/>
      <c r="I284" s="4"/>
    </row>
    <row r="285" spans="1:9">
      <c r="A285" s="4"/>
      <c r="B285" s="4"/>
      <c r="C285" s="4"/>
      <c r="D285" s="4"/>
      <c r="E285" s="4"/>
      <c r="F285" s="4"/>
      <c r="G285" s="4"/>
      <c r="H285" s="4"/>
      <c r="I285" s="4"/>
    </row>
    <row r="286" spans="1:9">
      <c r="A286" s="4"/>
      <c r="B286" s="4"/>
      <c r="C286" s="4"/>
      <c r="D286" s="4"/>
      <c r="E286" s="4"/>
      <c r="F286" s="4"/>
      <c r="G286" s="4"/>
      <c r="H286" s="4"/>
      <c r="I286" s="4"/>
    </row>
    <row r="287" spans="1:9">
      <c r="A287" s="4"/>
      <c r="B287" s="4"/>
      <c r="C287" s="4"/>
      <c r="D287" s="4"/>
      <c r="E287" s="4"/>
      <c r="F287" s="4"/>
      <c r="G287" s="4"/>
      <c r="H287" s="4"/>
      <c r="I287" s="4"/>
    </row>
    <row r="288" spans="1:9">
      <c r="A288" s="4"/>
      <c r="B288" s="4"/>
      <c r="C288" s="4"/>
      <c r="D288" s="4"/>
      <c r="E288" s="4"/>
      <c r="F288" s="4"/>
      <c r="G288" s="4"/>
      <c r="H288" s="4"/>
      <c r="I288" s="4"/>
    </row>
    <row r="289" spans="1:9">
      <c r="A289" s="4"/>
      <c r="B289" s="4"/>
      <c r="C289" s="4"/>
      <c r="D289" s="4"/>
      <c r="E289" s="4"/>
      <c r="F289" s="4"/>
      <c r="G289" s="4"/>
      <c r="H289" s="4"/>
      <c r="I289" s="4"/>
    </row>
    <row r="290" spans="1:9">
      <c r="A290" s="4"/>
      <c r="B290" s="4"/>
      <c r="C290" s="4"/>
      <c r="D290" s="4"/>
      <c r="E290" s="4"/>
      <c r="F290" s="4"/>
      <c r="G290" s="4"/>
      <c r="H290" s="4"/>
      <c r="I290" s="4"/>
    </row>
    <row r="291" spans="1:9">
      <c r="A291" s="4"/>
      <c r="B291" s="4"/>
      <c r="C291" s="4"/>
      <c r="D291" s="4"/>
      <c r="E291" s="4"/>
      <c r="F291" s="4"/>
      <c r="G291" s="4"/>
      <c r="H291" s="4"/>
      <c r="I291" s="4"/>
    </row>
    <row r="292" spans="1:9">
      <c r="A292" s="4"/>
      <c r="B292" s="4"/>
      <c r="C292" s="4"/>
      <c r="D292" s="4"/>
      <c r="E292" s="4"/>
      <c r="F292" s="4"/>
      <c r="G292" s="4"/>
      <c r="H292" s="4"/>
      <c r="I292" s="4"/>
    </row>
    <row r="293" spans="1:9">
      <c r="A293" s="4"/>
      <c r="B293" s="4"/>
      <c r="C293" s="4"/>
      <c r="D293" s="4"/>
      <c r="E293" s="4"/>
      <c r="F293" s="4"/>
      <c r="G293" s="4"/>
      <c r="H293" s="4"/>
      <c r="I293" s="4"/>
    </row>
    <row r="294" spans="1:9">
      <c r="A294" s="4"/>
      <c r="B294" s="4"/>
      <c r="C294" s="4"/>
      <c r="D294" s="4"/>
      <c r="E294" s="4"/>
      <c r="F294" s="4"/>
      <c r="G294" s="4"/>
      <c r="H294" s="4"/>
      <c r="I294" s="4"/>
    </row>
    <row r="295" spans="1:9">
      <c r="A295" s="4"/>
      <c r="B295" s="4"/>
      <c r="C295" s="4"/>
      <c r="D295" s="4"/>
      <c r="E295" s="4"/>
      <c r="F295" s="4"/>
      <c r="G295" s="4"/>
      <c r="H295" s="4"/>
      <c r="I295" s="4"/>
    </row>
    <row r="296" spans="1:9">
      <c r="A296" s="4"/>
      <c r="B296" s="4"/>
      <c r="C296" s="4"/>
      <c r="D296" s="4"/>
      <c r="E296" s="4"/>
      <c r="F296" s="4"/>
      <c r="G296" s="4"/>
      <c r="H296" s="4"/>
      <c r="I296" s="4"/>
    </row>
    <row r="297" spans="1:9">
      <c r="A297" s="4"/>
      <c r="B297" s="4"/>
      <c r="C297" s="4"/>
      <c r="D297" s="4"/>
      <c r="E297" s="4"/>
      <c r="F297" s="4"/>
      <c r="G297" s="4"/>
      <c r="H297" s="4"/>
      <c r="I297" s="4"/>
    </row>
    <row r="298" spans="1:9">
      <c r="A298" s="4"/>
      <c r="B298" s="4"/>
      <c r="C298" s="4"/>
      <c r="D298" s="4"/>
      <c r="E298" s="4"/>
      <c r="F298" s="4"/>
      <c r="G298" s="4"/>
      <c r="H298" s="4"/>
      <c r="I298" s="4"/>
    </row>
    <row r="299" spans="1:9">
      <c r="A299" s="4"/>
      <c r="B299" s="4"/>
      <c r="C299" s="4"/>
      <c r="D299" s="4"/>
      <c r="E299" s="4"/>
      <c r="F299" s="4"/>
      <c r="G299" s="4"/>
      <c r="H299" s="4"/>
      <c r="I299" s="4"/>
    </row>
    <row r="300" spans="1:9">
      <c r="A300" s="4"/>
      <c r="B300" s="4"/>
      <c r="C300" s="4"/>
      <c r="D300" s="4"/>
      <c r="E300" s="4"/>
      <c r="F300" s="4"/>
      <c r="G300" s="4"/>
      <c r="H300" s="4"/>
      <c r="I300" s="4"/>
    </row>
  </sheetData>
  <dataValidations count="2">
    <dataValidation type="list" allowBlank="1" sqref="F2:F200">
      <formula1>下拉列表!$B$2:$B$7</formula1>
    </dataValidation>
    <dataValidation type="list" allowBlank="1" sqref="F201:F300">
      <formula1>下拉列表!$B$2:$B$8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A1" sqref="A1:F1"/>
    </sheetView>
  </sheetViews>
  <sheetFormatPr defaultColWidth="9" defaultRowHeight="14.25" outlineLevelCol="5"/>
  <cols>
    <col min="1" max="1" width="18" customWidth="1"/>
    <col min="2" max="2" width="90" customWidth="1"/>
    <col min="3" max="6" width="22" customWidth="1"/>
  </cols>
  <sheetData>
    <row r="1" ht="28" customHeight="1" spans="1:6">
      <c r="A1" s="8" t="s">
        <v>61</v>
      </c>
      <c r="B1" s="8"/>
      <c r="C1" s="8"/>
      <c r="D1" s="8"/>
      <c r="E1" s="8"/>
      <c r="F1" s="8"/>
    </row>
    <row r="2" ht="16.5" spans="1:6">
      <c r="A2" s="9"/>
      <c r="B2" s="9"/>
      <c r="C2" s="9"/>
      <c r="D2" s="9"/>
      <c r="E2" s="9"/>
      <c r="F2" s="9"/>
    </row>
    <row r="3" ht="16.5" spans="1:6">
      <c r="A3" s="10" t="s">
        <v>62</v>
      </c>
      <c r="B3" s="10" t="s">
        <v>29</v>
      </c>
      <c r="C3" s="11"/>
      <c r="D3" s="11"/>
      <c r="E3" s="11"/>
      <c r="F3" s="11"/>
    </row>
    <row r="4" ht="16.5" spans="1:6">
      <c r="A4" s="12" t="s">
        <v>63</v>
      </c>
      <c r="B4" s="12" t="s">
        <v>64</v>
      </c>
      <c r="C4" s="9"/>
      <c r="D4" s="9"/>
      <c r="E4" s="9"/>
      <c r="F4" s="9"/>
    </row>
    <row r="5" ht="16.5" spans="1:6">
      <c r="A5" s="12" t="s">
        <v>65</v>
      </c>
      <c r="B5" s="12" t="s">
        <v>66</v>
      </c>
      <c r="C5" s="9"/>
      <c r="D5" s="9"/>
      <c r="E5" s="9"/>
      <c r="F5" s="9"/>
    </row>
    <row r="6" ht="16.5" spans="1:6">
      <c r="A6" s="10" t="s">
        <v>67</v>
      </c>
      <c r="B6" s="10" t="s">
        <v>29</v>
      </c>
      <c r="C6" s="11"/>
      <c r="D6" s="11"/>
      <c r="E6" s="11"/>
      <c r="F6" s="11"/>
    </row>
    <row r="7" ht="16.5" spans="1:6">
      <c r="A7" s="12" t="s">
        <v>68</v>
      </c>
      <c r="B7" s="12" t="s">
        <v>69</v>
      </c>
      <c r="C7" s="9"/>
      <c r="D7" s="9"/>
      <c r="E7" s="9"/>
      <c r="F7" s="9"/>
    </row>
    <row r="8" ht="16.5" spans="1:6">
      <c r="A8" s="12" t="s">
        <v>70</v>
      </c>
      <c r="B8" s="12" t="s">
        <v>71</v>
      </c>
      <c r="C8" s="9"/>
      <c r="D8" s="9"/>
      <c r="E8" s="9"/>
      <c r="F8" s="9"/>
    </row>
    <row r="9" ht="16.5" spans="1:6">
      <c r="A9" s="12" t="s">
        <v>40</v>
      </c>
      <c r="B9" s="12" t="s">
        <v>72</v>
      </c>
      <c r="C9" s="9"/>
      <c r="D9" s="9"/>
      <c r="E9" s="9"/>
      <c r="F9" s="9"/>
    </row>
    <row r="10" ht="16.5" spans="1:6">
      <c r="A10" s="12" t="s">
        <v>73</v>
      </c>
      <c r="B10" s="12" t="s">
        <v>74</v>
      </c>
      <c r="C10" s="9"/>
      <c r="D10" s="9"/>
      <c r="E10" s="9"/>
      <c r="F10" s="9"/>
    </row>
    <row r="11" ht="16.5" spans="1:6">
      <c r="A11" s="12" t="s">
        <v>75</v>
      </c>
      <c r="B11" s="12" t="s">
        <v>76</v>
      </c>
      <c r="C11" s="9"/>
      <c r="D11" s="9"/>
      <c r="E11" s="9"/>
      <c r="F11" s="9"/>
    </row>
    <row r="12" ht="16.5" spans="1:6">
      <c r="A12" s="10" t="s">
        <v>77</v>
      </c>
      <c r="B12" s="10" t="s">
        <v>29</v>
      </c>
      <c r="C12" s="11"/>
      <c r="D12" s="11"/>
      <c r="E12" s="11"/>
      <c r="F12" s="11"/>
    </row>
    <row r="13" ht="16.5" spans="1:6">
      <c r="A13" s="12" t="s">
        <v>9</v>
      </c>
      <c r="B13" s="12" t="s">
        <v>78</v>
      </c>
      <c r="C13" s="9"/>
      <c r="D13" s="9"/>
      <c r="E13" s="9"/>
      <c r="F13" s="9"/>
    </row>
    <row r="14" ht="16.5" spans="1:6">
      <c r="A14" s="12" t="s">
        <v>10</v>
      </c>
      <c r="B14" s="12" t="s">
        <v>79</v>
      </c>
      <c r="C14" s="9"/>
      <c r="D14" s="9"/>
      <c r="E14" s="9"/>
      <c r="F14" s="9"/>
    </row>
    <row r="15" ht="16.5" spans="1:6">
      <c r="A15" s="12" t="s">
        <v>11</v>
      </c>
      <c r="B15" s="12" t="s">
        <v>80</v>
      </c>
      <c r="C15" s="9"/>
      <c r="D15" s="9"/>
      <c r="E15" s="9"/>
      <c r="F15" s="9"/>
    </row>
    <row r="16" ht="16.5" spans="1:6">
      <c r="A16" s="12" t="s">
        <v>81</v>
      </c>
      <c r="B16" s="12" t="s">
        <v>82</v>
      </c>
      <c r="C16" s="9"/>
      <c r="D16" s="9"/>
      <c r="E16" s="9"/>
      <c r="F16" s="9"/>
    </row>
    <row r="17" ht="16.5" spans="1:6">
      <c r="A17" s="12" t="s">
        <v>14</v>
      </c>
      <c r="B17" s="12" t="s">
        <v>83</v>
      </c>
      <c r="C17" s="9"/>
      <c r="D17" s="9"/>
      <c r="E17" s="9"/>
      <c r="F17" s="9"/>
    </row>
    <row r="18" ht="16.5" spans="1:6">
      <c r="A18" s="12" t="s">
        <v>84</v>
      </c>
      <c r="B18" s="12" t="s">
        <v>85</v>
      </c>
      <c r="C18" s="9"/>
      <c r="D18" s="9"/>
      <c r="E18" s="9"/>
      <c r="F18" s="9"/>
    </row>
    <row r="19" ht="16.5" spans="1:6">
      <c r="A19" s="12" t="s">
        <v>20</v>
      </c>
      <c r="B19" s="12" t="s">
        <v>86</v>
      </c>
      <c r="C19" s="9"/>
      <c r="D19" s="9"/>
      <c r="E19" s="9"/>
      <c r="F19" s="9"/>
    </row>
    <row r="20" ht="16.5" spans="1:6">
      <c r="A20" s="12" t="s">
        <v>87</v>
      </c>
      <c r="B20" s="12" t="s">
        <v>88</v>
      </c>
      <c r="C20" s="9"/>
      <c r="D20" s="9"/>
      <c r="E20" s="9"/>
      <c r="F20" s="9"/>
    </row>
    <row r="21" ht="16.5" spans="1:6">
      <c r="A21" s="10" t="s">
        <v>89</v>
      </c>
      <c r="B21" s="10" t="s">
        <v>29</v>
      </c>
      <c r="C21" s="11"/>
      <c r="D21" s="11"/>
      <c r="E21" s="11"/>
      <c r="F21" s="11"/>
    </row>
    <row r="22" ht="33" spans="1:6">
      <c r="A22" s="12" t="s">
        <v>90</v>
      </c>
      <c r="B22" s="12" t="s">
        <v>91</v>
      </c>
      <c r="C22" s="9"/>
      <c r="D22" s="9"/>
      <c r="E22" s="9"/>
      <c r="F22" s="9"/>
    </row>
    <row r="23" ht="33" spans="1:6">
      <c r="A23" s="12" t="s">
        <v>6</v>
      </c>
      <c r="B23" s="12" t="s">
        <v>92</v>
      </c>
      <c r="C23" s="9"/>
      <c r="D23" s="9"/>
      <c r="E23" s="9"/>
      <c r="F23" s="9"/>
    </row>
    <row r="24" ht="16.5" spans="1:6">
      <c r="A24" s="10" t="s">
        <v>93</v>
      </c>
      <c r="B24" s="10" t="s">
        <v>29</v>
      </c>
      <c r="C24" s="11"/>
      <c r="D24" s="11"/>
      <c r="E24" s="11"/>
      <c r="F24" s="11"/>
    </row>
    <row r="25" ht="16.5" spans="1:6">
      <c r="A25" s="12" t="s">
        <v>94</v>
      </c>
      <c r="B25" s="12" t="s">
        <v>95</v>
      </c>
      <c r="C25" s="9"/>
      <c r="D25" s="9"/>
      <c r="E25" s="9"/>
      <c r="F25" s="9"/>
    </row>
    <row r="26" ht="16.5" spans="1:6">
      <c r="A26" s="12" t="s">
        <v>96</v>
      </c>
      <c r="B26" s="12" t="s">
        <v>97</v>
      </c>
      <c r="C26" s="9"/>
      <c r="D26" s="9"/>
      <c r="E26" s="9"/>
      <c r="F26" s="9"/>
    </row>
    <row r="27" ht="16.5" spans="1:6">
      <c r="A27" s="12" t="s">
        <v>98</v>
      </c>
      <c r="B27" s="12" t="s">
        <v>99</v>
      </c>
      <c r="C27" s="9"/>
      <c r="D27" s="9"/>
      <c r="E27" s="9"/>
      <c r="F27" s="9"/>
    </row>
    <row r="28" ht="16.5" spans="1:6">
      <c r="A28" s="10" t="s">
        <v>100</v>
      </c>
      <c r="B28" s="10" t="s">
        <v>29</v>
      </c>
      <c r="C28" s="11"/>
      <c r="D28" s="11"/>
      <c r="E28" s="11"/>
      <c r="F28" s="11"/>
    </row>
    <row r="29" ht="16.5" spans="1:6">
      <c r="A29" s="12" t="s">
        <v>101</v>
      </c>
      <c r="B29" s="12" t="s">
        <v>102</v>
      </c>
      <c r="C29" s="9"/>
      <c r="D29" s="9"/>
      <c r="E29" s="9"/>
      <c r="F29" s="9"/>
    </row>
    <row r="30" ht="33" spans="1:6">
      <c r="A30" s="12" t="s">
        <v>103</v>
      </c>
      <c r="B30" s="12" t="s">
        <v>104</v>
      </c>
      <c r="C30" s="9"/>
      <c r="D30" s="9"/>
      <c r="E30" s="9"/>
      <c r="F30" s="9"/>
    </row>
    <row r="31" ht="33" spans="1:6">
      <c r="A31" s="12" t="s">
        <v>105</v>
      </c>
      <c r="B31" s="12" t="s">
        <v>106</v>
      </c>
      <c r="C31" s="9"/>
      <c r="D31" s="9"/>
      <c r="E31" s="9"/>
      <c r="F31" s="9"/>
    </row>
    <row r="32" ht="16.5" spans="1:6">
      <c r="A32" s="10" t="s">
        <v>107</v>
      </c>
      <c r="B32" s="10" t="s">
        <v>29</v>
      </c>
      <c r="C32" s="11"/>
      <c r="D32" s="11"/>
      <c r="E32" s="11"/>
      <c r="F32" s="11"/>
    </row>
    <row r="33" ht="16.5" spans="1:6">
      <c r="A33" s="12" t="s">
        <v>108</v>
      </c>
      <c r="B33" s="12" t="s">
        <v>109</v>
      </c>
      <c r="C33" s="9"/>
      <c r="D33" s="9"/>
      <c r="E33" s="9"/>
      <c r="F33" s="9"/>
    </row>
    <row r="34" ht="33" spans="1:6">
      <c r="A34" s="12" t="s">
        <v>110</v>
      </c>
      <c r="B34" s="12" t="s">
        <v>111</v>
      </c>
      <c r="C34" s="9"/>
      <c r="D34" s="9"/>
      <c r="E34" s="9"/>
      <c r="F34" s="9"/>
    </row>
    <row r="35" ht="33" spans="1:6">
      <c r="A35" s="12" t="s">
        <v>112</v>
      </c>
      <c r="B35" s="12" t="s">
        <v>113</v>
      </c>
      <c r="C35" s="9"/>
      <c r="D35" s="9"/>
      <c r="E35" s="9"/>
      <c r="F35" s="9"/>
    </row>
    <row r="36" ht="33" spans="1:6">
      <c r="A36" s="12" t="s">
        <v>114</v>
      </c>
      <c r="B36" s="12" t="s">
        <v>115</v>
      </c>
      <c r="C36" s="9"/>
      <c r="D36" s="9"/>
      <c r="E36" s="9"/>
      <c r="F36" s="9"/>
    </row>
    <row r="37" ht="16.5" spans="1:6">
      <c r="A37" s="9"/>
      <c r="B37" s="9"/>
      <c r="C37" s="9"/>
      <c r="D37" s="9"/>
      <c r="E37" s="9"/>
      <c r="F37" s="9"/>
    </row>
    <row r="38" ht="16.5" spans="1:6">
      <c r="A38" s="9"/>
      <c r="B38" s="9"/>
      <c r="C38" s="9"/>
      <c r="D38" s="9"/>
      <c r="E38" s="9"/>
      <c r="F38" s="9"/>
    </row>
    <row r="39" ht="16.5" spans="1:6">
      <c r="A39" s="9"/>
      <c r="B39" s="9"/>
      <c r="C39" s="9"/>
      <c r="D39" s="9"/>
      <c r="E39" s="9"/>
      <c r="F39" s="9"/>
    </row>
    <row r="40" ht="16.5" spans="1:6">
      <c r="A40" s="9"/>
      <c r="B40" s="9"/>
      <c r="C40" s="9"/>
      <c r="D40" s="9"/>
      <c r="E40" s="9"/>
      <c r="F40" s="9"/>
    </row>
  </sheetData>
  <mergeCells count="1">
    <mergeCell ref="A1:F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5" sqref="A5"/>
    </sheetView>
  </sheetViews>
  <sheetFormatPr defaultColWidth="9" defaultRowHeight="14.25" outlineLevelCol="7"/>
  <cols>
    <col min="1" max="1" width="18" customWidth="1"/>
    <col min="2" max="3" width="16" customWidth="1"/>
    <col min="4" max="4" width="24" customWidth="1"/>
    <col min="5" max="5" width="12" customWidth="1"/>
    <col min="6" max="6" width="3" customWidth="1"/>
    <col min="7" max="7" width="25" customWidth="1"/>
    <col min="8" max="8" width="13" customWidth="1"/>
  </cols>
  <sheetData>
    <row r="1" ht="16.5" spans="1:8">
      <c r="A1" s="1" t="s">
        <v>8</v>
      </c>
      <c r="B1" s="1" t="s">
        <v>10</v>
      </c>
      <c r="C1" s="1" t="s">
        <v>22</v>
      </c>
      <c r="D1" s="1" t="s">
        <v>116</v>
      </c>
      <c r="E1" s="1" t="s">
        <v>117</v>
      </c>
      <c r="G1" s="2" t="s">
        <v>118</v>
      </c>
      <c r="H1" s="2" t="s">
        <v>119</v>
      </c>
    </row>
    <row r="2" ht="16.5" spans="1:8">
      <c r="A2" s="3" t="s">
        <v>38</v>
      </c>
      <c r="B2" s="3" t="s">
        <v>46</v>
      </c>
      <c r="C2" s="3" t="s">
        <v>53</v>
      </c>
      <c r="D2" s="3" t="s">
        <v>120</v>
      </c>
      <c r="E2" s="3" t="s">
        <v>121</v>
      </c>
      <c r="F2" s="4"/>
      <c r="G2" s="3" t="s">
        <v>122</v>
      </c>
      <c r="H2" s="5">
        <v>0.354166666666667</v>
      </c>
    </row>
    <row r="3" ht="16.5" spans="1:8">
      <c r="A3" s="3" t="s">
        <v>123</v>
      </c>
      <c r="B3" s="3" t="s">
        <v>34</v>
      </c>
      <c r="C3" s="3" t="s">
        <v>36</v>
      </c>
      <c r="D3" s="3" t="s">
        <v>124</v>
      </c>
      <c r="E3" s="3"/>
      <c r="F3" s="4"/>
      <c r="G3" s="3" t="s">
        <v>125</v>
      </c>
      <c r="H3" s="5">
        <v>0.604166666666667</v>
      </c>
    </row>
    <row r="4" ht="16.5" spans="1:8">
      <c r="A4" s="3" t="s">
        <v>126</v>
      </c>
      <c r="B4" s="3" t="s">
        <v>40</v>
      </c>
      <c r="C4" s="3"/>
      <c r="D4" s="3" t="s">
        <v>127</v>
      </c>
      <c r="E4" s="3"/>
      <c r="F4" s="4"/>
      <c r="G4" s="3" t="s">
        <v>128</v>
      </c>
      <c r="H4" s="5">
        <v>0.5</v>
      </c>
    </row>
    <row r="5" ht="16.5" spans="1:8">
      <c r="A5" s="3" t="s">
        <v>129</v>
      </c>
      <c r="B5" s="3" t="s">
        <v>130</v>
      </c>
      <c r="C5" s="3"/>
      <c r="D5" s="3" t="s">
        <v>131</v>
      </c>
      <c r="E5" s="3"/>
      <c r="F5" s="4"/>
      <c r="G5" s="3" t="s">
        <v>132</v>
      </c>
      <c r="H5" s="5">
        <v>0.729166666666667</v>
      </c>
    </row>
    <row r="6" ht="16.5" spans="1:8">
      <c r="A6" s="3" t="s">
        <v>133</v>
      </c>
      <c r="B6" s="3" t="s">
        <v>51</v>
      </c>
      <c r="C6" s="3"/>
      <c r="D6" s="3"/>
      <c r="E6" s="3"/>
      <c r="F6" s="4"/>
      <c r="G6" s="3"/>
      <c r="H6" s="5"/>
    </row>
    <row r="7" ht="16.5" spans="1:8">
      <c r="A7" s="3" t="s">
        <v>134</v>
      </c>
      <c r="B7" s="3" t="s">
        <v>135</v>
      </c>
      <c r="C7" s="3"/>
      <c r="D7" s="3"/>
      <c r="E7" s="3"/>
      <c r="F7" s="4"/>
      <c r="G7" s="3"/>
      <c r="H7" s="5"/>
    </row>
    <row r="8" ht="16.5" spans="1:8">
      <c r="A8" s="3" t="s">
        <v>136</v>
      </c>
      <c r="B8" s="3" t="s">
        <v>26</v>
      </c>
      <c r="C8" s="3"/>
      <c r="D8" s="3"/>
      <c r="E8" s="3"/>
      <c r="F8" s="4"/>
      <c r="G8" s="3"/>
      <c r="H8" s="5"/>
    </row>
    <row r="9" ht="16.5" spans="1:8">
      <c r="A9" s="3" t="s">
        <v>137</v>
      </c>
      <c r="B9" s="3"/>
      <c r="C9" s="3"/>
      <c r="D9" s="3"/>
      <c r="E9" s="3"/>
      <c r="F9" s="4"/>
      <c r="G9" s="3"/>
      <c r="H9" s="5"/>
    </row>
    <row r="10" ht="16.5" spans="1:8">
      <c r="A10" s="3" t="s">
        <v>138</v>
      </c>
      <c r="B10" s="3"/>
      <c r="C10" s="3"/>
      <c r="D10" s="3"/>
      <c r="E10" s="3"/>
      <c r="F10" s="4"/>
      <c r="G10" s="3"/>
      <c r="H10" s="5"/>
    </row>
    <row r="11" ht="16.5" spans="1:8">
      <c r="A11" s="3" t="s">
        <v>44</v>
      </c>
      <c r="B11" s="3"/>
      <c r="C11" s="3"/>
      <c r="D11" s="3"/>
      <c r="E11" s="3"/>
      <c r="F11" s="4"/>
      <c r="G11" s="3"/>
      <c r="H11" s="5"/>
    </row>
    <row r="12" ht="16.5" spans="1:8">
      <c r="A12" s="3" t="s">
        <v>139</v>
      </c>
      <c r="B12" s="3"/>
      <c r="C12" s="3"/>
      <c r="D12" s="3"/>
      <c r="E12" s="3"/>
      <c r="F12" s="4"/>
      <c r="G12" s="3"/>
      <c r="H12" s="5"/>
    </row>
    <row r="13" ht="16.5" spans="1:8">
      <c r="A13" s="3" t="s">
        <v>140</v>
      </c>
      <c r="B13" s="3"/>
      <c r="C13" s="3"/>
      <c r="D13" s="3"/>
      <c r="E13" s="3"/>
      <c r="F13" s="4"/>
      <c r="G13" s="3"/>
      <c r="H13" s="5"/>
    </row>
    <row r="14" ht="16.5" spans="1:8">
      <c r="A14" s="3" t="s">
        <v>24</v>
      </c>
      <c r="B14" s="3"/>
      <c r="C14" s="3"/>
      <c r="D14" s="3"/>
      <c r="E14" s="3"/>
      <c r="F14" s="4"/>
      <c r="G14" s="3"/>
      <c r="H14" s="5"/>
    </row>
    <row r="15" ht="16.5" spans="1:8">
      <c r="A15" s="3" t="s">
        <v>141</v>
      </c>
      <c r="B15" s="3"/>
      <c r="C15" s="3"/>
      <c r="D15" s="3"/>
      <c r="E15" s="3"/>
      <c r="F15" s="4"/>
      <c r="G15" s="3"/>
      <c r="H15" s="5"/>
    </row>
    <row r="16" ht="16.5" spans="1:8">
      <c r="A16" s="3" t="s">
        <v>32</v>
      </c>
      <c r="B16" s="3"/>
      <c r="C16" s="3"/>
      <c r="D16" s="3"/>
      <c r="E16" s="3"/>
      <c r="F16" s="4"/>
      <c r="G16" s="3"/>
      <c r="H16" s="5"/>
    </row>
    <row r="17" ht="16.5" spans="1:8">
      <c r="A17" s="3" t="s">
        <v>49</v>
      </c>
      <c r="B17" s="3"/>
      <c r="C17" s="3"/>
      <c r="D17" s="3"/>
      <c r="E17" s="3"/>
      <c r="F17" s="4"/>
      <c r="G17" s="3"/>
      <c r="H17" s="5"/>
    </row>
    <row r="18" ht="16.5" spans="1:8">
      <c r="A18" s="6"/>
      <c r="B18" s="6"/>
      <c r="C18" s="6"/>
      <c r="D18" s="6"/>
      <c r="E18" s="6"/>
      <c r="G18" s="6"/>
      <c r="H18" s="7"/>
    </row>
    <row r="19" ht="16.5" spans="1:8">
      <c r="A19" s="6"/>
      <c r="B19" s="6"/>
      <c r="C19" s="6"/>
      <c r="D19" s="6"/>
      <c r="E19" s="6"/>
      <c r="G19" s="6"/>
      <c r="H19" s="7"/>
    </row>
    <row r="20" ht="16.5" spans="1:8">
      <c r="A20" s="6"/>
      <c r="B20" s="6"/>
      <c r="C20" s="6"/>
      <c r="D20" s="6"/>
      <c r="E20" s="6"/>
      <c r="G20" s="6"/>
      <c r="H2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工作事项台账</vt:lpstr>
      <vt:lpstr>工作事项日志</vt:lpstr>
      <vt:lpstr>使用说明</vt:lpstr>
      <vt:lpstr>下拉列表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买方合同审阅</cp:lastModifiedBy>
  <dcterms:created xsi:type="dcterms:W3CDTF">2026-09-03T02:10:00Z</dcterms:created>
  <dcterms:modified xsi:type="dcterms:W3CDTF">2026-09-08T13:59:16Z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CB66190C42EC4AF69A842E2F602C4D5F</vt:lpwstr>
  </property>
  <property fmtid="{D5CDD505-2E9C-101B-9397-08002B2CF9AE}" pid="3" name="KSOProductBuildVer">
    <vt:lpwstr>2052-11.8.2.8411</vt:lpwstr>
  </property>
</Properties>
</file>